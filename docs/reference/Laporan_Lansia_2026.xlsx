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p. Kunjungan  " sheetId="1" state="visible" r:id="rId3"/>
    <sheet name="Lap. Layanan Lansia " sheetId="2" state="visible" r:id="rId4"/>
    <sheet name="Sheet1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<sst xmlns="http://schemas.openxmlformats.org/spreadsheetml/2006/main" count="2749" uniqueCount="128">
  <si>
    <t xml:space="preserve">FORMAT PENCATATAN DAN PELAPORAN KESEHATAN LANJUT USIA DI DINAS KESEHATAN KOTA TA. 2026</t>
  </si>
  <si>
    <t xml:space="preserve">PUSKESMAS</t>
  </si>
  <si>
    <t xml:space="preserve">: PAYOLANSEK</t>
  </si>
  <si>
    <t xml:space="preserve">KOTA</t>
  </si>
  <si>
    <t xml:space="preserve">: PAYAKUMBUH</t>
  </si>
  <si>
    <t xml:space="preserve">BULAN </t>
  </si>
  <si>
    <t xml:space="preserve">: JANUARI</t>
  </si>
  <si>
    <t xml:space="preserve">No</t>
  </si>
  <si>
    <t xml:space="preserve">Kelurahan</t>
  </si>
  <si>
    <t xml:space="preserve">Jumlah Posyandu</t>
  </si>
  <si>
    <t xml:space="preserve">Pemberdayaan Lansia</t>
  </si>
  <si>
    <t xml:space="preserve">Posyandu terintergrasi DG PTM</t>
  </si>
  <si>
    <t xml:space="preserve">Jumlah Kader Lansia</t>
  </si>
  <si>
    <t xml:space="preserve">Jumlah Kader yang mendapatkan Pelatihan/Orientasi Kesehatan Lansia</t>
  </si>
  <si>
    <t xml:space="preserve">Sasaran Lansia</t>
  </si>
  <si>
    <t xml:space="preserve">Jumlah Lansia Memiliki JKN</t>
  </si>
  <si>
    <t xml:space="preserve">Kunjungan Lansia Dalam Gedung (Puskesmas)</t>
  </si>
  <si>
    <t xml:space="preserve">Kunjungan Lansia Luar Gedung (Posyandu/ Poskeskel)</t>
  </si>
  <si>
    <t xml:space="preserve"> Total Kunjungan Lansia</t>
  </si>
  <si>
    <t xml:space="preserve">Lansia yang dilayani sesuai standart</t>
  </si>
  <si>
    <t xml:space="preserve">Lansia Yg dilayani Sesuai Standart (usia &gt; 60 Th)</t>
  </si>
  <si>
    <t xml:space="preserve">Kegiatan sehari-hari</t>
  </si>
  <si>
    <t xml:space="preserve">45-59</t>
  </si>
  <si>
    <t xml:space="preserve">60-69</t>
  </si>
  <si>
    <t xml:space="preserve">&gt; 70</t>
  </si>
  <si>
    <t xml:space="preserve">TOTAL LANSIA &gt; 60 </t>
  </si>
  <si>
    <t xml:space="preserve">Jumlah data Komdat</t>
  </si>
  <si>
    <t xml:space="preserve">Kemandirian 60-69</t>
  </si>
  <si>
    <t xml:space="preserve">Kemandirian &gt; 70</t>
  </si>
  <si>
    <t xml:space="preserve">L</t>
  </si>
  <si>
    <t xml:space="preserve">P</t>
  </si>
  <si>
    <t xml:space="preserve">TOTAL</t>
  </si>
  <si>
    <t xml:space="preserve">%</t>
  </si>
  <si>
    <t xml:space="preserve">A</t>
  </si>
  <si>
    <t xml:space="preserve">B</t>
  </si>
  <si>
    <t xml:space="preserve">C</t>
  </si>
  <si>
    <t xml:space="preserve">Lansia Lama</t>
  </si>
  <si>
    <t xml:space="preserve">Lansia Baru</t>
  </si>
  <si>
    <t xml:space="preserve">Total Kunjungan</t>
  </si>
  <si>
    <t xml:space="preserve">Abs Baru</t>
  </si>
  <si>
    <t xml:space="preserve">Bln ini Baru</t>
  </si>
  <si>
    <t xml:space="preserve">Abs</t>
  </si>
  <si>
    <t xml:space="preserve">PAYOLANSEK</t>
  </si>
  <si>
    <t xml:space="preserve">BULBA</t>
  </si>
  <si>
    <t xml:space="preserve">P SINAYAN</t>
  </si>
  <si>
    <t xml:space="preserve">K GADANG</t>
  </si>
  <si>
    <t xml:space="preserve">K TANGAH</t>
  </si>
  <si>
    <t xml:space="preserve">TALANG</t>
  </si>
  <si>
    <t xml:space="preserve">JUMLAH</t>
  </si>
  <si>
    <t xml:space="preserve">kunj bln ini :</t>
  </si>
  <si>
    <t xml:space="preserve">71+65+41+33= 210</t>
  </si>
  <si>
    <t xml:space="preserve">Payakumbuh, Januari 2024</t>
  </si>
  <si>
    <t xml:space="preserve">: FEBRUARI</t>
  </si>
  <si>
    <t xml:space="preserve">: MARET</t>
  </si>
  <si>
    <t xml:space="preserve">: APRIL</t>
  </si>
  <si>
    <t xml:space="preserve">: MEI</t>
  </si>
  <si>
    <t xml:space="preserve">: JUNI</t>
  </si>
  <si>
    <t xml:space="preserve">: JULI</t>
  </si>
  <si>
    <t xml:space="preserve">kubugadang</t>
  </si>
  <si>
    <t xml:space="preserve">januari</t>
  </si>
  <si>
    <t xml:space="preserve">februrari</t>
  </si>
  <si>
    <t xml:space="preserve">maret</t>
  </si>
  <si>
    <t xml:space="preserve">: SEPTEMBER</t>
  </si>
  <si>
    <t xml:space="preserve">: OKTOBER</t>
  </si>
  <si>
    <t xml:space="preserve">: NOVEMBER</t>
  </si>
  <si>
    <t xml:space="preserve">: DESEMBER</t>
  </si>
  <si>
    <t xml:space="preserve">FORMAT PENCATATAN DAN PELAPORAN KESEHATAN LANJUT USIA DI DINAS KESEHATAN KOTA TA. 2024</t>
  </si>
  <si>
    <t xml:space="preserve">PUSKESMAS        : PAYOLANSEK</t>
  </si>
  <si>
    <t xml:space="preserve">                    : PAYAKUMBUH</t>
  </si>
  <si>
    <t xml:space="preserve">BULAN                : JANUARI</t>
  </si>
  <si>
    <t xml:space="preserve">Jumlah Layanan Lansia dengan Kelainan</t>
  </si>
  <si>
    <t xml:space="preserve">Jml Lansia dgn kelainan</t>
  </si>
  <si>
    <t xml:space="preserve">Pengobatan</t>
  </si>
  <si>
    <t xml:space="preserve">Konseling </t>
  </si>
  <si>
    <t xml:space="preserve">Penyuluhan</t>
  </si>
  <si>
    <t xml:space="preserve">Jumlah Lansia Aktif Bekerja</t>
  </si>
  <si>
    <t xml:space="preserve">Jumlah Panti Wredha dibina</t>
  </si>
  <si>
    <t xml:space="preserve">Jumlah Kunjungan Rumah (homecare)</t>
  </si>
  <si>
    <t xml:space="preserve">Ket.</t>
  </si>
  <si>
    <t xml:space="preserve">Ggn ME</t>
  </si>
  <si>
    <t xml:space="preserve">IMT</t>
  </si>
  <si>
    <t xml:space="preserve">Tek. Darah</t>
  </si>
  <si>
    <t xml:space="preserve">Hb Kurang</t>
  </si>
  <si>
    <t xml:space="preserve">Kolesterol tinggi</t>
  </si>
  <si>
    <t xml:space="preserve">DM</t>
  </si>
  <si>
    <t xml:space="preserve">As. Urat tinggi</t>
  </si>
  <si>
    <t xml:space="preserve">Ggn ginjal</t>
  </si>
  <si>
    <t xml:space="preserve">Ggn kognitif</t>
  </si>
  <si>
    <t xml:space="preserve">Ggn Penglihatan</t>
  </si>
  <si>
    <t xml:space="preserve">Ggn pendengaran</t>
  </si>
  <si>
    <t xml:space="preserve">Lain-lain</t>
  </si>
  <si>
    <t xml:space="preserve">Diedukasi</t>
  </si>
  <si>
    <t xml:space="preserve">Diobati</t>
  </si>
  <si>
    <t xml:space="preserve">Dirujuk</t>
  </si>
  <si>
    <t xml:space="preserve">K</t>
  </si>
  <si>
    <t xml:space="preserve">T</t>
  </si>
  <si>
    <t xml:space="preserve">R</t>
  </si>
  <si>
    <t xml:space="preserve">Baru</t>
  </si>
  <si>
    <t xml:space="preserve">Lama</t>
  </si>
  <si>
    <t xml:space="preserve">Selesai</t>
  </si>
  <si>
    <t xml:space="preserve">PAKAN SINAYAN</t>
  </si>
  <si>
    <t xml:space="preserve">KUBU GADANG</t>
  </si>
  <si>
    <t xml:space="preserve">KOTO TANGAH</t>
  </si>
  <si>
    <t xml:space="preserve">BULAN                : FEBRUARI</t>
  </si>
  <si>
    <t xml:space="preserve">Payakumbuh,Februari 2024</t>
  </si>
  <si>
    <t xml:space="preserve">BULAN                : MARET </t>
  </si>
  <si>
    <t xml:space="preserve">BULAN                : APRIL </t>
  </si>
  <si>
    <t xml:space="preserve">BULAN                : MEI </t>
  </si>
  <si>
    <t xml:space="preserve">BULAN                : JUNI </t>
  </si>
  <si>
    <t xml:space="preserve">BULAN                : JULI </t>
  </si>
  <si>
    <t xml:space="preserve">BULAN                : AGUSTUS </t>
  </si>
  <si>
    <t xml:space="preserve">BULAN                : SEPTEMBER </t>
  </si>
  <si>
    <t xml:space="preserve">BULAN                : OKTOBER </t>
  </si>
  <si>
    <t xml:space="preserve">BULAN                : NOVEMBER </t>
  </si>
  <si>
    <t xml:space="preserve">BULAN                : DESEMBER </t>
  </si>
  <si>
    <t xml:space="preserve">pt</t>
  </si>
  <si>
    <t xml:space="preserve">sc</t>
  </si>
  <si>
    <t xml:space="preserve">ptp</t>
  </si>
  <si>
    <t xml:space="preserve">baja </t>
  </si>
  <si>
    <t xml:space="preserve">pa</t>
  </si>
  <si>
    <t xml:space="preserve">hc</t>
  </si>
  <si>
    <t xml:space="preserve">kekurangan</t>
  </si>
  <si>
    <t xml:space="preserve">nov</t>
  </si>
  <si>
    <t xml:space="preserve">bln ini</t>
  </si>
  <si>
    <t xml:space="preserve">LAKI</t>
  </si>
  <si>
    <t xml:space="preserve">70 KE ATAS</t>
  </si>
  <si>
    <t xml:space="preserve">DALAM GEDUNG</t>
  </si>
  <si>
    <t xml:space="preserve">LUAR GEDUNG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</si>
</sst>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0"/>
    <numFmt numFmtId="167" formatCode="0.00"/>
    <numFmt numFmtId="168" formatCode="#,##0"/>
    <numFmt numFmtId="169" formatCode="0%"/>
  </numFmts>
  <fonts count="1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2"/>
      <color theme="1"/>
      <name val="Arial Narrow"/>
      <family val="0"/>
      <charset val="134"/>
    </font>
    <font>
      <b val="true"/>
      <u val="single"/>
      <sz val="12"/>
      <color theme="1"/>
      <name val="Arial Narrow"/>
      <family val="0"/>
      <charset val="134"/>
    </font>
    <font>
      <b val="true"/>
      <sz val="12"/>
      <color theme="1"/>
      <name val="Arial Narrow"/>
      <family val="0"/>
      <charset val="134"/>
    </font>
    <font>
      <b val="true"/>
      <sz val="12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theme="1"/>
      <name val="Arial Narrow"/>
      <family val="0"/>
      <charset val="1"/>
    </font>
    <font>
      <b val="true"/>
      <sz val="12"/>
      <color rgb="FF000000"/>
      <name val="Calibri"/>
      <family val="0"/>
      <charset val="134"/>
    </font>
    <font>
      <b val="true"/>
      <sz val="12"/>
      <color rgb="FFFF0000"/>
      <name val="Arial Narrow"/>
      <family val="0"/>
      <charset val="134"/>
    </font>
    <font>
      <b val="true"/>
      <sz val="18"/>
      <color theme="1"/>
      <name val="Arial Narrow"/>
      <family val="0"/>
      <charset val="134"/>
    </font>
    <font>
      <b val="true"/>
      <sz val="16"/>
      <color theme="1"/>
      <name val="Arial Narrow"/>
      <family val="0"/>
      <charset val="134"/>
    </font>
    <font>
      <b val="true"/>
      <sz val="14"/>
      <color rgb="FF000000"/>
      <name val="Arial"/>
      <family val="0"/>
      <charset val="134"/>
    </font>
    <font>
      <b val="true"/>
      <sz val="14"/>
      <name val="Arial"/>
      <family val="0"/>
      <charset val="134"/>
    </font>
    <font>
      <b val="true"/>
      <sz val="14"/>
      <color rgb="FFFF0000"/>
      <name val="Arial"/>
      <family val="0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EBF1DE"/>
      </patternFill>
    </fill>
    <fill>
      <patternFill patternType="solid">
        <fgColor rgb="FF92D050"/>
        <bgColor rgb="FFC0C0C0"/>
      </patternFill>
    </fill>
    <fill>
      <patternFill patternType="solid">
        <fgColor theme="6" tint="0.7998"/>
        <bgColor rgb="FFFDEADA"/>
      </patternFill>
    </fill>
    <fill>
      <patternFill patternType="solid">
        <fgColor theme="9" tint="0.7998"/>
        <bgColor rgb="FFEBF1DE"/>
      </patternFill>
    </fill>
    <fill>
      <patternFill patternType="solid">
        <fgColor theme="6" tint="0.5998"/>
        <bgColor rgb="FFEBF1DE"/>
      </patternFill>
    </fill>
    <fill>
      <patternFill patternType="solid">
        <fgColor rgb="FF00B0F0"/>
        <bgColor rgb="FF33CC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 style="medium"/>
      <diagonal/>
    </border>
  </borders>
  <cellStyleXfs count="5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4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Comma 2 2 2" xfId="22"/>
    <cellStyle name="Comma 2 2 2 2" xfId="23"/>
    <cellStyle name="Comma 2 3" xfId="24"/>
    <cellStyle name="Comma 2 3 2" xfId="25"/>
    <cellStyle name="Comma 3" xfId="26"/>
    <cellStyle name="Comma 3 2" xfId="27"/>
    <cellStyle name="Normal 2" xfId="28"/>
    <cellStyle name="Normal 2 2" xfId="29"/>
    <cellStyle name="Normal 2 2 2" xfId="30"/>
    <cellStyle name="Normal 2 2 2 2" xfId="31"/>
    <cellStyle name="Normal 2 3" xfId="32"/>
    <cellStyle name="Normal 2 3 2" xfId="33"/>
    <cellStyle name="Normal 2 3 2 2" xfId="34"/>
    <cellStyle name="Normal 2 3 3" xfId="35"/>
    <cellStyle name="Normal 2 4" xfId="36"/>
    <cellStyle name="Normal 2 4 2" xfId="37"/>
    <cellStyle name="Normal 2 4 2 2" xfId="38"/>
    <cellStyle name="Normal 2 4 3" xfId="39"/>
    <cellStyle name="Normal 2 5" xfId="40"/>
    <cellStyle name="Normal 2 5 2" xfId="41"/>
    <cellStyle name="Normal 3" xfId="42"/>
    <cellStyle name="Normal 3 2" xfId="43"/>
    <cellStyle name="Normal 3 2 2" xfId="44"/>
    <cellStyle name="Normal 3 2 2 2" xfId="45"/>
    <cellStyle name="Normal 3 2 3" xfId="46"/>
    <cellStyle name="Normal 3 3" xfId="47"/>
    <cellStyle name="Normal 3 3 2" xfId="48"/>
    <cellStyle name="Normal 4" xfId="49"/>
    <cellStyle name="Normal 4 2" xfId="50"/>
    <cellStyle name="Normal 4 2 2" xfId="51"/>
    <cellStyle name="Normal 4 3" xfId="52"/>
    <cellStyle name="Normal 5" xfId="53"/>
    <cellStyle name="Normal 5 2" xfId="54"/>
    <cellStyle name="Normal 5 2 2" xfId="55"/>
    <cellStyle name="Normal 5 3" xfId="56"/>
    <cellStyle name="Normal 6" xfId="57"/>
    <cellStyle name="Normal 6 2" xfId="5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7E4BD"/>
      <rgbColor rgb="FFFDEADA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BU260"/>
  <sheetViews>
    <sheetView showFormulas="false" showGridLines="true" showRowColHeaders="true" showZeros="true" rightToLeft="false" tabSelected="true" showOutlineSymbols="true" defaultGridColor="true" view="pageBreakPreview" topLeftCell="A144" colorId="64" zoomScale="65" zoomScaleNormal="70" zoomScalePageLayoutView="65" workbookViewId="0">
      <pane xSplit="15" ySplit="0" topLeftCell="P144" activePane="topRight" state="frozen"/>
      <selection pane="topLeft" activeCell="A144" activeCellId="0" sqref="A144"/>
      <selection pane="topRight" activeCell="A155" activeCellId="0" sqref="A155:O168"/>
    </sheetView>
  </sheetViews>
  <sheetFormatPr defaultColWidth="9.14453125" defaultRowHeight="15.75" customHeight="false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18.44"/>
    <col collapsed="false" customWidth="true" hidden="false" outlineLevel="0" max="3" min="3" style="1" width="11.15"/>
    <col collapsed="false" customWidth="true" hidden="false" outlineLevel="0" max="4" min="4" style="1" width="10.29"/>
    <col collapsed="false" customWidth="true" hidden="false" outlineLevel="0" max="5" min="5" style="1" width="13.44"/>
    <col collapsed="false" customWidth="true" hidden="false" outlineLevel="0" max="6" min="6" style="1" width="9.71"/>
    <col collapsed="false" customWidth="true" hidden="false" outlineLevel="0" max="7" min="7" style="1" width="12"/>
    <col collapsed="false" customWidth="true" hidden="false" outlineLevel="0" max="10" min="8" style="1" width="7.15"/>
    <col collapsed="false" customWidth="true" hidden="false" outlineLevel="0" max="11" min="11" style="1" width="6.43"/>
    <col collapsed="false" customWidth="true" hidden="false" outlineLevel="0" max="12" min="12" style="1" width="6"/>
    <col collapsed="false" customWidth="true" hidden="false" outlineLevel="0" max="13" min="13" style="1" width="7.72"/>
    <col collapsed="false" customWidth="true" hidden="false" outlineLevel="0" max="15" min="14" style="1" width="8.72"/>
    <col collapsed="false" customWidth="true" hidden="false" outlineLevel="0" max="16" min="16" style="1" width="7.72"/>
    <col collapsed="false" customWidth="true" hidden="false" outlineLevel="0" max="17" min="17" style="1" width="7.43"/>
    <col collapsed="false" customWidth="true" hidden="false" outlineLevel="0" max="18" min="18" style="1" width="7.72"/>
    <col collapsed="false" customWidth="true" hidden="false" outlineLevel="0" max="19" min="19" style="1" width="7.57"/>
    <col collapsed="false" customWidth="true" hidden="false" outlineLevel="0" max="20" min="20" style="1" width="7.15"/>
    <col collapsed="false" customWidth="true" hidden="false" outlineLevel="0" max="21" min="21" style="1" width="7.57"/>
    <col collapsed="false" customWidth="true" hidden="false" outlineLevel="0" max="22" min="22" style="1" width="7.15"/>
    <col collapsed="false" customWidth="true" hidden="false" outlineLevel="0" max="23" min="23" style="1" width="8"/>
    <col collapsed="false" customWidth="true" hidden="false" outlineLevel="0" max="24" min="24" style="1" width="7.57"/>
    <col collapsed="false" customWidth="true" hidden="false" outlineLevel="0" max="25" min="25" style="1" width="7.72"/>
    <col collapsed="false" customWidth="true" hidden="false" outlineLevel="0" max="28" min="26" style="1" width="7.57"/>
    <col collapsed="false" customWidth="true" hidden="false" outlineLevel="0" max="39" min="29" style="1" width="9"/>
    <col collapsed="false" customWidth="true" hidden="false" outlineLevel="0" max="40" min="40" style="1" width="11.56"/>
    <col collapsed="false" customWidth="true" hidden="false" outlineLevel="0" max="41" min="41" style="1" width="10.44"/>
    <col collapsed="false" customWidth="true" hidden="false" outlineLevel="0" max="42" min="42" style="1" width="12.29"/>
    <col collapsed="false" customWidth="true" hidden="false" outlineLevel="0" max="43" min="43" style="1" width="10.44"/>
    <col collapsed="false" customWidth="true" hidden="false" outlineLevel="0" max="44" min="44" style="1" width="12.29"/>
    <col collapsed="false" customWidth="true" hidden="false" outlineLevel="0" max="45" min="45" style="1" width="10.44"/>
    <col collapsed="false" customWidth="true" hidden="false" outlineLevel="0" max="46" min="46" style="1" width="12.29"/>
    <col collapsed="false" customWidth="true" hidden="false" outlineLevel="0" max="47" min="47" style="1" width="10.44"/>
    <col collapsed="false" customWidth="true" hidden="false" outlineLevel="0" max="48" min="48" style="1" width="11.72"/>
    <col collapsed="false" customWidth="true" hidden="false" outlineLevel="0" max="49" min="49" style="1" width="10.44"/>
    <col collapsed="false" customWidth="true" hidden="false" outlineLevel="0" max="50" min="50" style="1" width="11.72"/>
    <col collapsed="false" customWidth="true" hidden="false" outlineLevel="0" max="51" min="51" style="1" width="10.44"/>
    <col collapsed="false" customWidth="true" hidden="false" outlineLevel="0" max="52" min="52" style="1" width="9"/>
    <col collapsed="false" customWidth="true" hidden="false" outlineLevel="0" max="53" min="53" style="1" width="9.44"/>
    <col collapsed="false" customWidth="true" hidden="false" outlineLevel="0" max="63" min="54" style="1" width="9"/>
    <col collapsed="false" customWidth="true" hidden="false" outlineLevel="0" max="66" min="64" style="1" width="10.29"/>
    <col collapsed="false" customWidth="true" hidden="false" outlineLevel="0" max="67" min="67" style="1" width="10.7"/>
    <col collapsed="false" customWidth="true" hidden="false" outlineLevel="0" max="73" min="68" style="1" width="7.57"/>
    <col collapsed="false" customWidth="false" hidden="false" outlineLevel="0" max="16384" min="74" style="1" width="9.14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customFormat="false" ht="15.7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customFormat="false" ht="15.75" hidden="false" customHeight="false" outlineLevel="0" collapsed="false">
      <c r="A3" s="3" t="s">
        <v>1</v>
      </c>
      <c r="B3" s="4"/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</row>
    <row r="4" customFormat="false" ht="15.75" hidden="false" customHeight="false" outlineLevel="0" collapsed="false">
      <c r="A4" s="3" t="s">
        <v>3</v>
      </c>
      <c r="B4" s="4"/>
      <c r="C4" s="4" t="s">
        <v>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</row>
    <row r="5" customFormat="false" ht="15.75" hidden="false" customHeight="false" outlineLevel="0" collapsed="false">
      <c r="A5" s="3" t="s">
        <v>5</v>
      </c>
      <c r="B5" s="4"/>
      <c r="C5" s="4" t="s">
        <v>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</row>
    <row r="6" customFormat="false" ht="15.75" hidden="false" customHeight="false" outlineLevel="0" collapsed="false">
      <c r="A6" s="4"/>
      <c r="B6" s="4"/>
      <c r="C6" s="4"/>
      <c r="D6" s="4"/>
      <c r="E6" s="4"/>
      <c r="F6" s="4"/>
      <c r="G6" s="4"/>
      <c r="H6" s="5"/>
      <c r="I6" s="5"/>
      <c r="J6" s="5"/>
      <c r="K6" s="5"/>
      <c r="L6" s="5"/>
      <c r="M6" s="5"/>
      <c r="N6" s="5"/>
      <c r="O6" s="5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</row>
    <row r="7" customFormat="false" ht="33.75" hidden="false" customHeight="true" outlineLevel="0" collapsed="false">
      <c r="A7" s="7" t="s">
        <v>7</v>
      </c>
      <c r="B7" s="8" t="s">
        <v>8</v>
      </c>
      <c r="C7" s="8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10" t="s">
        <v>14</v>
      </c>
      <c r="I7" s="10"/>
      <c r="J7" s="10"/>
      <c r="K7" s="10"/>
      <c r="L7" s="10"/>
      <c r="M7" s="11"/>
      <c r="N7" s="11"/>
      <c r="O7" s="8" t="s">
        <v>15</v>
      </c>
      <c r="P7" s="11" t="s">
        <v>16</v>
      </c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0" t="s">
        <v>17</v>
      </c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7" t="s">
        <v>18</v>
      </c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 t="s">
        <v>19</v>
      </c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8" t="s">
        <v>20</v>
      </c>
      <c r="BM7" s="8"/>
      <c r="BN7" s="8"/>
      <c r="BO7" s="8"/>
      <c r="BP7" s="7" t="s">
        <v>21</v>
      </c>
      <c r="BQ7" s="7"/>
      <c r="BR7" s="7"/>
      <c r="BS7" s="7" t="s">
        <v>21</v>
      </c>
      <c r="BT7" s="7"/>
      <c r="BU7" s="7"/>
    </row>
    <row r="8" customFormat="false" ht="44.25" hidden="false" customHeight="true" outlineLevel="0" collapsed="false">
      <c r="A8" s="7"/>
      <c r="B8" s="8"/>
      <c r="C8" s="8"/>
      <c r="D8" s="9"/>
      <c r="E8" s="9"/>
      <c r="F8" s="9"/>
      <c r="G8" s="9"/>
      <c r="H8" s="7" t="s">
        <v>22</v>
      </c>
      <c r="I8" s="7"/>
      <c r="J8" s="7" t="s">
        <v>23</v>
      </c>
      <c r="K8" s="7"/>
      <c r="L8" s="7" t="s">
        <v>24</v>
      </c>
      <c r="M8" s="7"/>
      <c r="N8" s="12" t="s">
        <v>25</v>
      </c>
      <c r="O8" s="8"/>
      <c r="P8" s="11" t="s">
        <v>22</v>
      </c>
      <c r="Q8" s="11"/>
      <c r="R8" s="11"/>
      <c r="S8" s="11"/>
      <c r="T8" s="10" t="s">
        <v>23</v>
      </c>
      <c r="U8" s="10"/>
      <c r="V8" s="10"/>
      <c r="W8" s="10"/>
      <c r="X8" s="10" t="s">
        <v>24</v>
      </c>
      <c r="Y8" s="10"/>
      <c r="Z8" s="10"/>
      <c r="AA8" s="10"/>
      <c r="AB8" s="10" t="s">
        <v>22</v>
      </c>
      <c r="AC8" s="10"/>
      <c r="AD8" s="10"/>
      <c r="AE8" s="10"/>
      <c r="AF8" s="10" t="s">
        <v>23</v>
      </c>
      <c r="AG8" s="10"/>
      <c r="AH8" s="10"/>
      <c r="AI8" s="10"/>
      <c r="AJ8" s="10" t="s">
        <v>24</v>
      </c>
      <c r="AK8" s="10"/>
      <c r="AL8" s="10"/>
      <c r="AM8" s="10"/>
      <c r="AN8" s="7" t="s">
        <v>22</v>
      </c>
      <c r="AO8" s="7"/>
      <c r="AP8" s="7"/>
      <c r="AQ8" s="7"/>
      <c r="AR8" s="7" t="s">
        <v>23</v>
      </c>
      <c r="AS8" s="7"/>
      <c r="AT8" s="7"/>
      <c r="AU8" s="7"/>
      <c r="AV8" s="7" t="s">
        <v>24</v>
      </c>
      <c r="AW8" s="7"/>
      <c r="AX8" s="7"/>
      <c r="AY8" s="7"/>
      <c r="AZ8" s="7" t="s">
        <v>22</v>
      </c>
      <c r="BA8" s="7"/>
      <c r="BB8" s="7"/>
      <c r="BC8" s="7"/>
      <c r="BD8" s="7" t="s">
        <v>23</v>
      </c>
      <c r="BE8" s="7"/>
      <c r="BF8" s="7"/>
      <c r="BG8" s="7"/>
      <c r="BH8" s="7" t="s">
        <v>24</v>
      </c>
      <c r="BI8" s="7"/>
      <c r="BJ8" s="7"/>
      <c r="BK8" s="7"/>
      <c r="BL8" s="7" t="s">
        <v>26</v>
      </c>
      <c r="BM8" s="7"/>
      <c r="BN8" s="7"/>
      <c r="BO8" s="7"/>
      <c r="BP8" s="7" t="s">
        <v>27</v>
      </c>
      <c r="BQ8" s="7"/>
      <c r="BR8" s="7"/>
      <c r="BS8" s="7" t="s">
        <v>28</v>
      </c>
      <c r="BT8" s="7"/>
      <c r="BU8" s="7"/>
    </row>
    <row r="9" customFormat="false" ht="27" hidden="false" customHeight="true" outlineLevel="0" collapsed="false">
      <c r="A9" s="7"/>
      <c r="B9" s="8"/>
      <c r="C9" s="8"/>
      <c r="D9" s="9"/>
      <c r="E9" s="9"/>
      <c r="F9" s="9"/>
      <c r="G9" s="9"/>
      <c r="H9" s="7" t="s">
        <v>29</v>
      </c>
      <c r="I9" s="7" t="s">
        <v>30</v>
      </c>
      <c r="J9" s="7" t="s">
        <v>29</v>
      </c>
      <c r="K9" s="7" t="s">
        <v>30</v>
      </c>
      <c r="L9" s="7" t="s">
        <v>29</v>
      </c>
      <c r="M9" s="7" t="s">
        <v>30</v>
      </c>
      <c r="N9" s="12"/>
      <c r="O9" s="8"/>
      <c r="P9" s="11" t="s">
        <v>29</v>
      </c>
      <c r="Q9" s="11"/>
      <c r="R9" s="10" t="s">
        <v>30</v>
      </c>
      <c r="S9" s="10"/>
      <c r="T9" s="10" t="s">
        <v>29</v>
      </c>
      <c r="U9" s="10"/>
      <c r="V9" s="10" t="s">
        <v>30</v>
      </c>
      <c r="W9" s="10"/>
      <c r="X9" s="10" t="s">
        <v>29</v>
      </c>
      <c r="Y9" s="10"/>
      <c r="Z9" s="10" t="s">
        <v>30</v>
      </c>
      <c r="AA9" s="10"/>
      <c r="AB9" s="10" t="s">
        <v>29</v>
      </c>
      <c r="AC9" s="10"/>
      <c r="AD9" s="10" t="s">
        <v>30</v>
      </c>
      <c r="AE9" s="10"/>
      <c r="AF9" s="10" t="s">
        <v>29</v>
      </c>
      <c r="AG9" s="10"/>
      <c r="AH9" s="10" t="s">
        <v>30</v>
      </c>
      <c r="AI9" s="10"/>
      <c r="AJ9" s="10" t="s">
        <v>29</v>
      </c>
      <c r="AK9" s="10"/>
      <c r="AL9" s="10" t="s">
        <v>30</v>
      </c>
      <c r="AM9" s="10"/>
      <c r="AN9" s="13" t="s">
        <v>29</v>
      </c>
      <c r="AO9" s="13"/>
      <c r="AP9" s="13" t="s">
        <v>30</v>
      </c>
      <c r="AQ9" s="13"/>
      <c r="AR9" s="13" t="s">
        <v>29</v>
      </c>
      <c r="AS9" s="13"/>
      <c r="AT9" s="13" t="s">
        <v>30</v>
      </c>
      <c r="AU9" s="13"/>
      <c r="AV9" s="13" t="s">
        <v>29</v>
      </c>
      <c r="AW9" s="13"/>
      <c r="AX9" s="13" t="s">
        <v>30</v>
      </c>
      <c r="AY9" s="13"/>
      <c r="AZ9" s="14" t="s">
        <v>29</v>
      </c>
      <c r="BA9" s="14"/>
      <c r="BB9" s="14" t="s">
        <v>30</v>
      </c>
      <c r="BC9" s="14"/>
      <c r="BD9" s="14" t="s">
        <v>29</v>
      </c>
      <c r="BE9" s="14"/>
      <c r="BF9" s="14" t="s">
        <v>30</v>
      </c>
      <c r="BG9" s="14"/>
      <c r="BH9" s="14" t="s">
        <v>29</v>
      </c>
      <c r="BI9" s="14"/>
      <c r="BJ9" s="14" t="s">
        <v>30</v>
      </c>
      <c r="BK9" s="14"/>
      <c r="BL9" s="15" t="s">
        <v>29</v>
      </c>
      <c r="BM9" s="15" t="s">
        <v>30</v>
      </c>
      <c r="BN9" s="15" t="s">
        <v>31</v>
      </c>
      <c r="BO9" s="15" t="s">
        <v>32</v>
      </c>
      <c r="BP9" s="7" t="s">
        <v>33</v>
      </c>
      <c r="BQ9" s="7" t="s">
        <v>34</v>
      </c>
      <c r="BR9" s="7" t="s">
        <v>35</v>
      </c>
      <c r="BS9" s="7" t="s">
        <v>33</v>
      </c>
      <c r="BT9" s="7" t="s">
        <v>34</v>
      </c>
      <c r="BU9" s="7" t="s">
        <v>35</v>
      </c>
    </row>
    <row r="10" customFormat="false" ht="85.5" hidden="false" customHeight="true" outlineLevel="0" collapsed="false">
      <c r="A10" s="7"/>
      <c r="B10" s="8"/>
      <c r="C10" s="8"/>
      <c r="D10" s="9"/>
      <c r="E10" s="9"/>
      <c r="F10" s="9"/>
      <c r="G10" s="9"/>
      <c r="H10" s="7"/>
      <c r="I10" s="7"/>
      <c r="J10" s="7"/>
      <c r="K10" s="7"/>
      <c r="L10" s="7"/>
      <c r="M10" s="7"/>
      <c r="N10" s="12"/>
      <c r="O10" s="8"/>
      <c r="P10" s="16" t="s">
        <v>36</v>
      </c>
      <c r="Q10" s="17" t="s">
        <v>37</v>
      </c>
      <c r="R10" s="17" t="s">
        <v>36</v>
      </c>
      <c r="S10" s="17" t="s">
        <v>37</v>
      </c>
      <c r="T10" s="17" t="s">
        <v>36</v>
      </c>
      <c r="U10" s="17" t="s">
        <v>37</v>
      </c>
      <c r="V10" s="17" t="s">
        <v>36</v>
      </c>
      <c r="W10" s="17" t="s">
        <v>37</v>
      </c>
      <c r="X10" s="17" t="s">
        <v>36</v>
      </c>
      <c r="Y10" s="17" t="s">
        <v>37</v>
      </c>
      <c r="Z10" s="17" t="s">
        <v>36</v>
      </c>
      <c r="AA10" s="17" t="s">
        <v>37</v>
      </c>
      <c r="AB10" s="17" t="s">
        <v>36</v>
      </c>
      <c r="AC10" s="17" t="s">
        <v>37</v>
      </c>
      <c r="AD10" s="17" t="s">
        <v>36</v>
      </c>
      <c r="AE10" s="17" t="s">
        <v>37</v>
      </c>
      <c r="AF10" s="17" t="s">
        <v>36</v>
      </c>
      <c r="AG10" s="17" t="s">
        <v>37</v>
      </c>
      <c r="AH10" s="17" t="s">
        <v>36</v>
      </c>
      <c r="AI10" s="17" t="s">
        <v>37</v>
      </c>
      <c r="AJ10" s="17" t="s">
        <v>36</v>
      </c>
      <c r="AK10" s="17" t="s">
        <v>37</v>
      </c>
      <c r="AL10" s="17" t="s">
        <v>36</v>
      </c>
      <c r="AM10" s="17" t="s">
        <v>37</v>
      </c>
      <c r="AN10" s="18" t="s">
        <v>38</v>
      </c>
      <c r="AO10" s="18" t="s">
        <v>39</v>
      </c>
      <c r="AP10" s="18" t="s">
        <v>38</v>
      </c>
      <c r="AQ10" s="18" t="s">
        <v>39</v>
      </c>
      <c r="AR10" s="18" t="s">
        <v>38</v>
      </c>
      <c r="AS10" s="18" t="s">
        <v>39</v>
      </c>
      <c r="AT10" s="18" t="s">
        <v>38</v>
      </c>
      <c r="AU10" s="18" t="s">
        <v>39</v>
      </c>
      <c r="AV10" s="18" t="s">
        <v>38</v>
      </c>
      <c r="AW10" s="18" t="s">
        <v>39</v>
      </c>
      <c r="AX10" s="18" t="s">
        <v>38</v>
      </c>
      <c r="AY10" s="18" t="s">
        <v>39</v>
      </c>
      <c r="AZ10" s="19" t="s">
        <v>40</v>
      </c>
      <c r="BA10" s="20" t="s">
        <v>41</v>
      </c>
      <c r="BB10" s="19" t="s">
        <v>40</v>
      </c>
      <c r="BC10" s="20" t="s">
        <v>41</v>
      </c>
      <c r="BD10" s="19" t="s">
        <v>40</v>
      </c>
      <c r="BE10" s="20" t="s">
        <v>41</v>
      </c>
      <c r="BF10" s="19" t="s">
        <v>40</v>
      </c>
      <c r="BG10" s="20" t="s">
        <v>41</v>
      </c>
      <c r="BH10" s="19" t="s">
        <v>40</v>
      </c>
      <c r="BI10" s="20" t="s">
        <v>41</v>
      </c>
      <c r="BJ10" s="19" t="s">
        <v>40</v>
      </c>
      <c r="BK10" s="20" t="s">
        <v>41</v>
      </c>
      <c r="BL10" s="21" t="s">
        <v>41</v>
      </c>
      <c r="BM10" s="21" t="s">
        <v>41</v>
      </c>
      <c r="BN10" s="15"/>
      <c r="BO10" s="15"/>
      <c r="BP10" s="7"/>
      <c r="BQ10" s="7"/>
      <c r="BR10" s="7"/>
      <c r="BS10" s="7"/>
      <c r="BT10" s="7"/>
      <c r="BU10" s="7"/>
    </row>
    <row r="11" s="26" customFormat="true" ht="13.5" hidden="false" customHeight="true" outlineLevel="0" collapsed="false">
      <c r="A11" s="22" t="n">
        <v>1</v>
      </c>
      <c r="B11" s="23" t="n">
        <v>2</v>
      </c>
      <c r="C11" s="23" t="n">
        <f aca="false">+B11+1</f>
        <v>3</v>
      </c>
      <c r="D11" s="23" t="n">
        <v>4</v>
      </c>
      <c r="E11" s="23" t="n">
        <v>5</v>
      </c>
      <c r="F11" s="23" t="n">
        <v>6</v>
      </c>
      <c r="G11" s="23" t="n">
        <v>7</v>
      </c>
      <c r="H11" s="24" t="n">
        <v>8</v>
      </c>
      <c r="I11" s="24"/>
      <c r="J11" s="24"/>
      <c r="K11" s="24"/>
      <c r="L11" s="24"/>
      <c r="M11" s="24"/>
      <c r="N11" s="25" t="n">
        <v>9</v>
      </c>
      <c r="O11" s="24" t="n">
        <v>10</v>
      </c>
      <c r="P11" s="24" t="n">
        <v>11</v>
      </c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3" t="n">
        <v>12</v>
      </c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13" t="n">
        <v>13</v>
      </c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4" t="n">
        <v>14</v>
      </c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5" t="n">
        <v>15</v>
      </c>
      <c r="BM11" s="15"/>
      <c r="BN11" s="15"/>
      <c r="BO11" s="15"/>
      <c r="BP11" s="24" t="n">
        <v>16</v>
      </c>
      <c r="BQ11" s="24"/>
      <c r="BR11" s="24"/>
      <c r="BS11" s="24" t="n">
        <v>17</v>
      </c>
      <c r="BT11" s="24"/>
      <c r="BU11" s="24"/>
    </row>
    <row r="12" s="40" customFormat="true" ht="32.25" hidden="false" customHeight="true" outlineLevel="0" collapsed="false">
      <c r="A12" s="27" t="n">
        <v>1</v>
      </c>
      <c r="B12" s="28" t="s">
        <v>42</v>
      </c>
      <c r="C12" s="10" t="n">
        <v>3</v>
      </c>
      <c r="D12" s="10" t="n">
        <v>0</v>
      </c>
      <c r="E12" s="10" t="n">
        <v>3</v>
      </c>
      <c r="F12" s="10" t="n">
        <v>0</v>
      </c>
      <c r="G12" s="10" t="n">
        <v>0</v>
      </c>
      <c r="H12" s="29" t="n">
        <v>200</v>
      </c>
      <c r="I12" s="29" t="n">
        <v>243</v>
      </c>
      <c r="J12" s="30" t="n">
        <v>180</v>
      </c>
      <c r="K12" s="30" t="n">
        <v>209</v>
      </c>
      <c r="L12" s="30" t="n">
        <v>110</v>
      </c>
      <c r="M12" s="30" t="n">
        <v>117</v>
      </c>
      <c r="N12" s="31" t="n">
        <f aca="false">SUM(J12:M12)</f>
        <v>616</v>
      </c>
      <c r="O12" s="32" t="n">
        <v>0</v>
      </c>
      <c r="P12" s="33"/>
      <c r="Q12" s="33" t="n">
        <v>20</v>
      </c>
      <c r="R12" s="33"/>
      <c r="S12" s="33" t="n">
        <v>50</v>
      </c>
      <c r="T12" s="33"/>
      <c r="U12" s="34" t="n">
        <v>16</v>
      </c>
      <c r="V12" s="33"/>
      <c r="W12" s="34" t="n">
        <v>40</v>
      </c>
      <c r="X12" s="33"/>
      <c r="Y12" s="34" t="n">
        <v>29</v>
      </c>
      <c r="Z12" s="33"/>
      <c r="AA12" s="34" t="n">
        <v>26</v>
      </c>
      <c r="AB12" s="33"/>
      <c r="AC12" s="33" t="n">
        <v>5</v>
      </c>
      <c r="AD12" s="33"/>
      <c r="AE12" s="33" t="n">
        <v>10</v>
      </c>
      <c r="AF12" s="33"/>
      <c r="AG12" s="34" t="n">
        <v>14</v>
      </c>
      <c r="AH12" s="33"/>
      <c r="AI12" s="34" t="n">
        <v>16</v>
      </c>
      <c r="AJ12" s="33"/>
      <c r="AK12" s="34" t="n">
        <v>0</v>
      </c>
      <c r="AL12" s="33"/>
      <c r="AM12" s="34" t="n">
        <v>2</v>
      </c>
      <c r="AN12" s="35" t="n">
        <f aca="false">P12+AB12</f>
        <v>0</v>
      </c>
      <c r="AO12" s="35" t="n">
        <f aca="false">Q12+AC12</f>
        <v>25</v>
      </c>
      <c r="AP12" s="35" t="n">
        <f aca="false">R12+AD12</f>
        <v>0</v>
      </c>
      <c r="AQ12" s="35" t="n">
        <f aca="false">S12+AE12</f>
        <v>60</v>
      </c>
      <c r="AR12" s="35" t="n">
        <f aca="false">T12+AF12</f>
        <v>0</v>
      </c>
      <c r="AS12" s="35" t="n">
        <f aca="false">U12+AG12</f>
        <v>30</v>
      </c>
      <c r="AT12" s="35" t="n">
        <f aca="false">V12+AH12</f>
        <v>0</v>
      </c>
      <c r="AU12" s="35" t="n">
        <f aca="false">W12+AI12</f>
        <v>56</v>
      </c>
      <c r="AV12" s="35" t="n">
        <f aca="false">X12+AJ12</f>
        <v>0</v>
      </c>
      <c r="AW12" s="35" t="n">
        <f aca="false">Y12+AK12</f>
        <v>29</v>
      </c>
      <c r="AX12" s="35" t="n">
        <f aca="false">Z12+AL12</f>
        <v>0</v>
      </c>
      <c r="AY12" s="35" t="n">
        <f aca="false">AA12+AM12</f>
        <v>28</v>
      </c>
      <c r="AZ12" s="36" t="n">
        <f aca="false">AO12</f>
        <v>25</v>
      </c>
      <c r="BA12" s="36" t="n">
        <f aca="false">SUM(AN12:AO12)</f>
        <v>25</v>
      </c>
      <c r="BB12" s="36" t="n">
        <f aca="false">S12+AE12</f>
        <v>60</v>
      </c>
      <c r="BC12" s="36" t="n">
        <f aca="false">SUM(AP12:AQ12)</f>
        <v>60</v>
      </c>
      <c r="BD12" s="36" t="n">
        <f aca="false">U12+AG12</f>
        <v>30</v>
      </c>
      <c r="BE12" s="36" t="n">
        <f aca="false">SUM(AR12:AS12)</f>
        <v>30</v>
      </c>
      <c r="BF12" s="36" t="n">
        <f aca="false">W12+AI12</f>
        <v>56</v>
      </c>
      <c r="BG12" s="36" t="n">
        <f aca="false">SUM(AT12:AU12)</f>
        <v>56</v>
      </c>
      <c r="BH12" s="36" t="n">
        <f aca="false">Y12+AK12</f>
        <v>29</v>
      </c>
      <c r="BI12" s="36" t="n">
        <f aca="false">SUM(AV12:AW12)</f>
        <v>29</v>
      </c>
      <c r="BJ12" s="36" t="n">
        <f aca="false">AA12+AM12</f>
        <v>28</v>
      </c>
      <c r="BK12" s="36" t="n">
        <f aca="false">SUM(AX12:AY12)</f>
        <v>28</v>
      </c>
      <c r="BL12" s="37" t="n">
        <f aca="false">BE12+BI12</f>
        <v>59</v>
      </c>
      <c r="BM12" s="37" t="n">
        <f aca="false">BG12+BK12</f>
        <v>84</v>
      </c>
      <c r="BN12" s="38" t="n">
        <f aca="false">BL12+BM12</f>
        <v>143</v>
      </c>
      <c r="BO12" s="39" t="n">
        <f aca="false">BN12/N12*100</f>
        <v>23.2142857142857</v>
      </c>
      <c r="BP12" s="10" t="n">
        <v>47</v>
      </c>
      <c r="BQ12" s="10" t="n">
        <v>0</v>
      </c>
      <c r="BR12" s="10" t="n">
        <v>0</v>
      </c>
      <c r="BS12" s="10" t="n">
        <v>12</v>
      </c>
      <c r="BT12" s="10" t="n">
        <v>0</v>
      </c>
      <c r="BU12" s="10" t="n">
        <v>0</v>
      </c>
    </row>
    <row r="13" s="41" customFormat="true" ht="32.25" hidden="false" customHeight="true" outlineLevel="0" collapsed="false">
      <c r="A13" s="27" t="n">
        <v>2</v>
      </c>
      <c r="B13" s="28" t="s">
        <v>43</v>
      </c>
      <c r="C13" s="10" t="n">
        <v>3</v>
      </c>
      <c r="D13" s="10" t="n">
        <v>0</v>
      </c>
      <c r="E13" s="10" t="n">
        <v>3</v>
      </c>
      <c r="F13" s="10" t="n">
        <v>0</v>
      </c>
      <c r="G13" s="10" t="n">
        <v>0</v>
      </c>
      <c r="H13" s="29" t="n">
        <v>385</v>
      </c>
      <c r="I13" s="29" t="n">
        <v>393</v>
      </c>
      <c r="J13" s="30" t="n">
        <v>165</v>
      </c>
      <c r="K13" s="30" t="n">
        <v>177</v>
      </c>
      <c r="L13" s="30" t="n">
        <v>95</v>
      </c>
      <c r="M13" s="30" t="n">
        <v>104</v>
      </c>
      <c r="N13" s="31" t="n">
        <f aca="false">SUM(J13:M13)</f>
        <v>541</v>
      </c>
      <c r="O13" s="32" t="n">
        <v>0</v>
      </c>
      <c r="P13" s="33"/>
      <c r="Q13" s="33" t="n">
        <v>10</v>
      </c>
      <c r="R13" s="33"/>
      <c r="S13" s="33" t="n">
        <v>40</v>
      </c>
      <c r="T13" s="33"/>
      <c r="U13" s="34" t="n">
        <v>20</v>
      </c>
      <c r="V13" s="33"/>
      <c r="W13" s="34" t="n">
        <v>20</v>
      </c>
      <c r="X13" s="33"/>
      <c r="Y13" s="34" t="n">
        <v>10</v>
      </c>
      <c r="Z13" s="33"/>
      <c r="AA13" s="34" t="n">
        <v>15</v>
      </c>
      <c r="AB13" s="33"/>
      <c r="AC13" s="33" t="n">
        <v>3</v>
      </c>
      <c r="AD13" s="33"/>
      <c r="AE13" s="33" t="n">
        <v>8</v>
      </c>
      <c r="AF13" s="33"/>
      <c r="AG13" s="34" t="n">
        <v>2</v>
      </c>
      <c r="AH13" s="33"/>
      <c r="AI13" s="34" t="n">
        <v>3</v>
      </c>
      <c r="AJ13" s="33"/>
      <c r="AK13" s="34" t="n">
        <v>1</v>
      </c>
      <c r="AL13" s="33"/>
      <c r="AM13" s="34" t="n">
        <v>3</v>
      </c>
      <c r="AN13" s="35" t="n">
        <f aca="false">P13+AB13</f>
        <v>0</v>
      </c>
      <c r="AO13" s="35" t="n">
        <f aca="false">Q13+AC13</f>
        <v>13</v>
      </c>
      <c r="AP13" s="35" t="n">
        <f aca="false">R13+AD13</f>
        <v>0</v>
      </c>
      <c r="AQ13" s="35" t="n">
        <f aca="false">S13+AE13</f>
        <v>48</v>
      </c>
      <c r="AR13" s="35" t="n">
        <f aca="false">T13+AF13</f>
        <v>0</v>
      </c>
      <c r="AS13" s="35" t="n">
        <f aca="false">U13+AG13</f>
        <v>22</v>
      </c>
      <c r="AT13" s="35" t="n">
        <f aca="false">V13+AH13</f>
        <v>0</v>
      </c>
      <c r="AU13" s="35" t="n">
        <f aca="false">W13+AI13</f>
        <v>23</v>
      </c>
      <c r="AV13" s="35" t="n">
        <f aca="false">X13+AJ13</f>
        <v>0</v>
      </c>
      <c r="AW13" s="35" t="n">
        <f aca="false">Y13+AK13</f>
        <v>11</v>
      </c>
      <c r="AX13" s="35" t="n">
        <f aca="false">Z13+AL13</f>
        <v>0</v>
      </c>
      <c r="AY13" s="35" t="n">
        <f aca="false">AA13+AM13</f>
        <v>18</v>
      </c>
      <c r="AZ13" s="36" t="n">
        <f aca="false">AO13</f>
        <v>13</v>
      </c>
      <c r="BA13" s="36" t="n">
        <f aca="false">SUM(AN13:AO13)</f>
        <v>13</v>
      </c>
      <c r="BB13" s="36" t="n">
        <f aca="false">S13+AE13</f>
        <v>48</v>
      </c>
      <c r="BC13" s="36" t="n">
        <f aca="false">SUM(AP13:AQ13)</f>
        <v>48</v>
      </c>
      <c r="BD13" s="36" t="n">
        <f aca="false">U13+AG13</f>
        <v>22</v>
      </c>
      <c r="BE13" s="36" t="n">
        <f aca="false">SUM(AR13:AS13)</f>
        <v>22</v>
      </c>
      <c r="BF13" s="36" t="n">
        <f aca="false">W13+AI13</f>
        <v>23</v>
      </c>
      <c r="BG13" s="36" t="n">
        <f aca="false">SUM(AT13:AU13)</f>
        <v>23</v>
      </c>
      <c r="BH13" s="36" t="n">
        <f aca="false">Y13+AK13</f>
        <v>11</v>
      </c>
      <c r="BI13" s="36" t="n">
        <f aca="false">SUM(AV13:AW13)</f>
        <v>11</v>
      </c>
      <c r="BJ13" s="36" t="n">
        <f aca="false">AA13+AM13</f>
        <v>18</v>
      </c>
      <c r="BK13" s="36" t="n">
        <f aca="false">SUM(AX13:AY13)</f>
        <v>18</v>
      </c>
      <c r="BL13" s="37" t="n">
        <f aca="false">BE13+BI13</f>
        <v>33</v>
      </c>
      <c r="BM13" s="37" t="n">
        <f aca="false">BG13+BK13</f>
        <v>41</v>
      </c>
      <c r="BN13" s="38" t="n">
        <f aca="false">BL13+BM13</f>
        <v>74</v>
      </c>
      <c r="BO13" s="39" t="n">
        <f aca="false">BN13/N13*100</f>
        <v>13.6783733826248</v>
      </c>
      <c r="BP13" s="10" t="n">
        <v>52</v>
      </c>
      <c r="BQ13" s="10" t="n">
        <v>0</v>
      </c>
      <c r="BR13" s="10" t="n">
        <v>0</v>
      </c>
      <c r="BS13" s="10" t="n">
        <v>40</v>
      </c>
      <c r="BT13" s="10" t="n">
        <v>0</v>
      </c>
      <c r="BU13" s="10" t="n">
        <v>0</v>
      </c>
    </row>
    <row r="14" s="41" customFormat="true" ht="32.25" hidden="false" customHeight="true" outlineLevel="0" collapsed="false">
      <c r="A14" s="27" t="n">
        <v>3</v>
      </c>
      <c r="B14" s="28" t="s">
        <v>44</v>
      </c>
      <c r="C14" s="10" t="n">
        <v>2</v>
      </c>
      <c r="D14" s="10" t="n">
        <v>0</v>
      </c>
      <c r="E14" s="10" t="n">
        <v>2</v>
      </c>
      <c r="F14" s="10" t="n">
        <v>0</v>
      </c>
      <c r="G14" s="10" t="n">
        <v>0</v>
      </c>
      <c r="H14" s="29" t="n">
        <v>178</v>
      </c>
      <c r="I14" s="29" t="n">
        <v>178</v>
      </c>
      <c r="J14" s="30" t="n">
        <v>70</v>
      </c>
      <c r="K14" s="30" t="n">
        <v>87</v>
      </c>
      <c r="L14" s="30" t="n">
        <v>45</v>
      </c>
      <c r="M14" s="30" t="n">
        <v>46</v>
      </c>
      <c r="N14" s="31" t="n">
        <f aca="false">SUM(J14:M14)</f>
        <v>248</v>
      </c>
      <c r="O14" s="32" t="n">
        <v>0</v>
      </c>
      <c r="P14" s="33"/>
      <c r="Q14" s="33" t="n">
        <v>4</v>
      </c>
      <c r="R14" s="33"/>
      <c r="S14" s="33" t="n">
        <v>15</v>
      </c>
      <c r="T14" s="33"/>
      <c r="U14" s="34" t="n">
        <v>10</v>
      </c>
      <c r="V14" s="33"/>
      <c r="W14" s="34" t="n">
        <v>10</v>
      </c>
      <c r="X14" s="33"/>
      <c r="Y14" s="34" t="n">
        <v>2</v>
      </c>
      <c r="Z14" s="33"/>
      <c r="AA14" s="34" t="n">
        <v>3</v>
      </c>
      <c r="AB14" s="33"/>
      <c r="AC14" s="33" t="n">
        <v>2</v>
      </c>
      <c r="AD14" s="33"/>
      <c r="AE14" s="33" t="n">
        <v>5</v>
      </c>
      <c r="AF14" s="33"/>
      <c r="AG14" s="34" t="n">
        <v>1</v>
      </c>
      <c r="AH14" s="33"/>
      <c r="AI14" s="34" t="n">
        <v>3</v>
      </c>
      <c r="AJ14" s="33"/>
      <c r="AK14" s="34" t="n">
        <v>0</v>
      </c>
      <c r="AL14" s="33"/>
      <c r="AM14" s="34" t="n">
        <v>2</v>
      </c>
      <c r="AN14" s="35" t="n">
        <f aca="false">P14+AB14</f>
        <v>0</v>
      </c>
      <c r="AO14" s="35" t="n">
        <f aca="false">Q14+AC14</f>
        <v>6</v>
      </c>
      <c r="AP14" s="35" t="n">
        <f aca="false">R14+AD14</f>
        <v>0</v>
      </c>
      <c r="AQ14" s="35" t="n">
        <f aca="false">S14+AE14</f>
        <v>20</v>
      </c>
      <c r="AR14" s="35" t="n">
        <f aca="false">T14+AF14</f>
        <v>0</v>
      </c>
      <c r="AS14" s="35" t="n">
        <f aca="false">U14+AG14</f>
        <v>11</v>
      </c>
      <c r="AT14" s="35" t="n">
        <f aca="false">V14+AH14</f>
        <v>0</v>
      </c>
      <c r="AU14" s="35" t="n">
        <f aca="false">W14+AI14</f>
        <v>13</v>
      </c>
      <c r="AV14" s="35" t="n">
        <f aca="false">X14+AJ14</f>
        <v>0</v>
      </c>
      <c r="AW14" s="35" t="n">
        <f aca="false">Y14+AK14</f>
        <v>2</v>
      </c>
      <c r="AX14" s="35" t="n">
        <f aca="false">Z14+AL14</f>
        <v>0</v>
      </c>
      <c r="AY14" s="35" t="n">
        <f aca="false">AA14+AM14</f>
        <v>5</v>
      </c>
      <c r="AZ14" s="36" t="n">
        <f aca="false">AO14</f>
        <v>6</v>
      </c>
      <c r="BA14" s="36" t="n">
        <f aca="false">SUM(AN14:AO14)</f>
        <v>6</v>
      </c>
      <c r="BB14" s="36" t="n">
        <f aca="false">S14+AE14</f>
        <v>20</v>
      </c>
      <c r="BC14" s="36" t="n">
        <f aca="false">SUM(AP14:AQ14)</f>
        <v>20</v>
      </c>
      <c r="BD14" s="36" t="n">
        <f aca="false">U14+AG14</f>
        <v>11</v>
      </c>
      <c r="BE14" s="36" t="n">
        <f aca="false">SUM(AR14:AS14)</f>
        <v>11</v>
      </c>
      <c r="BF14" s="36" t="n">
        <f aca="false">W14+AI14</f>
        <v>13</v>
      </c>
      <c r="BG14" s="36" t="n">
        <f aca="false">SUM(AT14:AU14)</f>
        <v>13</v>
      </c>
      <c r="BH14" s="36" t="n">
        <f aca="false">Y14+AK14</f>
        <v>2</v>
      </c>
      <c r="BI14" s="36" t="n">
        <f aca="false">SUM(AV14:AW14)</f>
        <v>2</v>
      </c>
      <c r="BJ14" s="36" t="n">
        <f aca="false">AA14+AM14</f>
        <v>5</v>
      </c>
      <c r="BK14" s="36" t="n">
        <f aca="false">SUM(AX14:AY14)</f>
        <v>5</v>
      </c>
      <c r="BL14" s="37" t="n">
        <f aca="false">BE14+BI14</f>
        <v>13</v>
      </c>
      <c r="BM14" s="37" t="n">
        <f aca="false">BG14+BK14</f>
        <v>18</v>
      </c>
      <c r="BN14" s="38" t="n">
        <f aca="false">BL14+BM14</f>
        <v>31</v>
      </c>
      <c r="BO14" s="39" t="n">
        <f aca="false">BN14/N14*100</f>
        <v>12.5</v>
      </c>
      <c r="BP14" s="10" t="n">
        <v>68</v>
      </c>
      <c r="BQ14" s="10" t="n">
        <v>0</v>
      </c>
      <c r="BR14" s="10" t="n">
        <v>0</v>
      </c>
      <c r="BS14" s="10" t="n">
        <v>35</v>
      </c>
      <c r="BT14" s="10" t="n">
        <v>0</v>
      </c>
      <c r="BU14" s="10" t="n">
        <v>0</v>
      </c>
    </row>
    <row r="15" s="41" customFormat="true" ht="32.25" hidden="false" customHeight="true" outlineLevel="0" collapsed="false">
      <c r="A15" s="27" t="n">
        <v>4</v>
      </c>
      <c r="B15" s="28" t="s">
        <v>45</v>
      </c>
      <c r="C15" s="10" t="n">
        <v>2</v>
      </c>
      <c r="D15" s="10" t="n">
        <v>0</v>
      </c>
      <c r="E15" s="10" t="n">
        <v>2</v>
      </c>
      <c r="F15" s="10" t="n">
        <v>0</v>
      </c>
      <c r="G15" s="10" t="n">
        <v>0</v>
      </c>
      <c r="H15" s="29" t="n">
        <v>245</v>
      </c>
      <c r="I15" s="29" t="n">
        <v>248</v>
      </c>
      <c r="J15" s="30" t="n">
        <v>100</v>
      </c>
      <c r="K15" s="30" t="n">
        <v>117</v>
      </c>
      <c r="L15" s="30" t="n">
        <v>60</v>
      </c>
      <c r="M15" s="30" t="n">
        <v>66</v>
      </c>
      <c r="N15" s="31" t="n">
        <f aca="false">SUM(J15:M15)</f>
        <v>343</v>
      </c>
      <c r="O15" s="32" t="n">
        <v>0</v>
      </c>
      <c r="P15" s="42"/>
      <c r="Q15" s="42" t="n">
        <v>5</v>
      </c>
      <c r="R15" s="33"/>
      <c r="S15" s="33" t="n">
        <v>20</v>
      </c>
      <c r="T15" s="33"/>
      <c r="U15" s="34" t="n">
        <v>5</v>
      </c>
      <c r="V15" s="33"/>
      <c r="W15" s="34" t="n">
        <v>8</v>
      </c>
      <c r="X15" s="33"/>
      <c r="Y15" s="34" t="n">
        <v>4</v>
      </c>
      <c r="Z15" s="33"/>
      <c r="AA15" s="34" t="n">
        <v>7</v>
      </c>
      <c r="AB15" s="42"/>
      <c r="AC15" s="43" t="n">
        <v>7</v>
      </c>
      <c r="AD15" s="33"/>
      <c r="AE15" s="33" t="n">
        <v>10</v>
      </c>
      <c r="AF15" s="33"/>
      <c r="AG15" s="34" t="n">
        <v>5</v>
      </c>
      <c r="AH15" s="33"/>
      <c r="AI15" s="34" t="n">
        <v>10</v>
      </c>
      <c r="AJ15" s="33"/>
      <c r="AK15" s="34" t="n">
        <v>6</v>
      </c>
      <c r="AL15" s="33"/>
      <c r="AM15" s="34" t="n">
        <v>6</v>
      </c>
      <c r="AN15" s="35" t="n">
        <f aca="false">P15+AB15</f>
        <v>0</v>
      </c>
      <c r="AO15" s="35" t="n">
        <f aca="false">Q15+AC15</f>
        <v>12</v>
      </c>
      <c r="AP15" s="35" t="n">
        <f aca="false">R15+AD15</f>
        <v>0</v>
      </c>
      <c r="AQ15" s="35" t="n">
        <f aca="false">S15+AE15</f>
        <v>30</v>
      </c>
      <c r="AR15" s="35" t="n">
        <f aca="false">T15+AF15</f>
        <v>0</v>
      </c>
      <c r="AS15" s="35" t="n">
        <f aca="false">U15+AG15</f>
        <v>10</v>
      </c>
      <c r="AT15" s="35" t="n">
        <f aca="false">V15+AH15</f>
        <v>0</v>
      </c>
      <c r="AU15" s="35" t="n">
        <f aca="false">W15+AI15</f>
        <v>18</v>
      </c>
      <c r="AV15" s="35" t="n">
        <f aca="false">X15+AJ15</f>
        <v>0</v>
      </c>
      <c r="AW15" s="35" t="n">
        <f aca="false">Y15+AK15</f>
        <v>10</v>
      </c>
      <c r="AX15" s="35" t="n">
        <f aca="false">Z15+AL15</f>
        <v>0</v>
      </c>
      <c r="AY15" s="35" t="n">
        <f aca="false">AA15+AM15</f>
        <v>13</v>
      </c>
      <c r="AZ15" s="36" t="n">
        <f aca="false">AO15</f>
        <v>12</v>
      </c>
      <c r="BA15" s="36" t="n">
        <f aca="false">SUM(AN15:AO15)</f>
        <v>12</v>
      </c>
      <c r="BB15" s="36" t="n">
        <f aca="false">S15+AE15</f>
        <v>30</v>
      </c>
      <c r="BC15" s="36" t="n">
        <f aca="false">SUM(AP15:AQ15)</f>
        <v>30</v>
      </c>
      <c r="BD15" s="36" t="n">
        <f aca="false">U15+AG15</f>
        <v>10</v>
      </c>
      <c r="BE15" s="36" t="n">
        <f aca="false">SUM(AR15:AS15)</f>
        <v>10</v>
      </c>
      <c r="BF15" s="36" t="n">
        <f aca="false">W15+AI15</f>
        <v>18</v>
      </c>
      <c r="BG15" s="36" t="n">
        <f aca="false">SUM(AT15:AU15)</f>
        <v>18</v>
      </c>
      <c r="BH15" s="36" t="n">
        <f aca="false">Y15+AK15</f>
        <v>10</v>
      </c>
      <c r="BI15" s="36" t="n">
        <f aca="false">SUM(AV15:AW15)</f>
        <v>10</v>
      </c>
      <c r="BJ15" s="36" t="n">
        <f aca="false">AA15+AM15</f>
        <v>13</v>
      </c>
      <c r="BK15" s="36" t="n">
        <f aca="false">SUM(AX15:AY15)</f>
        <v>13</v>
      </c>
      <c r="BL15" s="37" t="n">
        <f aca="false">BE15+BI15</f>
        <v>20</v>
      </c>
      <c r="BM15" s="37" t="n">
        <f aca="false">BG15+BK15</f>
        <v>31</v>
      </c>
      <c r="BN15" s="38" t="n">
        <f aca="false">BL15+BM15</f>
        <v>51</v>
      </c>
      <c r="BO15" s="39" t="n">
        <f aca="false">BN15/N15*100</f>
        <v>14.868804664723</v>
      </c>
      <c r="BP15" s="10" t="n">
        <v>39</v>
      </c>
      <c r="BQ15" s="10" t="n">
        <v>0</v>
      </c>
      <c r="BR15" s="10" t="n">
        <v>0</v>
      </c>
      <c r="BS15" s="10" t="n">
        <v>42</v>
      </c>
      <c r="BT15" s="10" t="n">
        <v>0</v>
      </c>
      <c r="BU15" s="10" t="n">
        <v>0</v>
      </c>
    </row>
    <row r="16" s="41" customFormat="true" ht="32.25" hidden="false" customHeight="true" outlineLevel="0" collapsed="false">
      <c r="A16" s="27" t="n">
        <v>5</v>
      </c>
      <c r="B16" s="28" t="s">
        <v>46</v>
      </c>
      <c r="C16" s="10" t="n">
        <v>2</v>
      </c>
      <c r="D16" s="10" t="n">
        <v>0</v>
      </c>
      <c r="E16" s="10" t="n">
        <v>2</v>
      </c>
      <c r="F16" s="10" t="n">
        <v>0</v>
      </c>
      <c r="G16" s="10" t="n">
        <v>0</v>
      </c>
      <c r="H16" s="29" t="n">
        <v>238</v>
      </c>
      <c r="I16" s="29" t="n">
        <v>239</v>
      </c>
      <c r="J16" s="30" t="n">
        <v>95</v>
      </c>
      <c r="K16" s="30" t="n">
        <v>114</v>
      </c>
      <c r="L16" s="30" t="n">
        <v>55</v>
      </c>
      <c r="M16" s="30" t="n">
        <v>67</v>
      </c>
      <c r="N16" s="31" t="n">
        <f aca="false">SUM(J16:M16)</f>
        <v>331</v>
      </c>
      <c r="O16" s="32" t="n">
        <v>0</v>
      </c>
      <c r="P16" s="43"/>
      <c r="Q16" s="43" t="n">
        <v>5</v>
      </c>
      <c r="R16" s="33"/>
      <c r="S16" s="33" t="n">
        <v>18</v>
      </c>
      <c r="T16" s="33"/>
      <c r="U16" s="34" t="n">
        <v>10</v>
      </c>
      <c r="V16" s="33"/>
      <c r="W16" s="34" t="n">
        <v>14</v>
      </c>
      <c r="X16" s="33"/>
      <c r="Y16" s="34" t="n">
        <v>1</v>
      </c>
      <c r="Z16" s="33"/>
      <c r="AA16" s="34" t="n">
        <v>3</v>
      </c>
      <c r="AB16" s="43"/>
      <c r="AC16" s="43" t="n">
        <v>2</v>
      </c>
      <c r="AD16" s="33"/>
      <c r="AE16" s="33" t="n">
        <v>21</v>
      </c>
      <c r="AF16" s="33"/>
      <c r="AG16" s="34" t="n">
        <v>1</v>
      </c>
      <c r="AH16" s="33"/>
      <c r="AI16" s="34" t="n">
        <v>19</v>
      </c>
      <c r="AJ16" s="33"/>
      <c r="AK16" s="34" t="n">
        <v>1</v>
      </c>
      <c r="AL16" s="33"/>
      <c r="AM16" s="34" t="n">
        <v>3</v>
      </c>
      <c r="AN16" s="35" t="n">
        <f aca="false">P16+AB16</f>
        <v>0</v>
      </c>
      <c r="AO16" s="35" t="n">
        <f aca="false">Q16+AC16</f>
        <v>7</v>
      </c>
      <c r="AP16" s="35" t="n">
        <f aca="false">R16+AD16</f>
        <v>0</v>
      </c>
      <c r="AQ16" s="35" t="n">
        <f aca="false">S16+AE16</f>
        <v>39</v>
      </c>
      <c r="AR16" s="35" t="n">
        <f aca="false">T16+AF16</f>
        <v>0</v>
      </c>
      <c r="AS16" s="35" t="n">
        <f aca="false">U16+AG16</f>
        <v>11</v>
      </c>
      <c r="AT16" s="35" t="n">
        <f aca="false">V16+AH16</f>
        <v>0</v>
      </c>
      <c r="AU16" s="35" t="n">
        <f aca="false">W16+AI16</f>
        <v>33</v>
      </c>
      <c r="AV16" s="35" t="n">
        <f aca="false">X16+AJ16</f>
        <v>0</v>
      </c>
      <c r="AW16" s="35" t="n">
        <f aca="false">Y16+AK16</f>
        <v>2</v>
      </c>
      <c r="AX16" s="35" t="n">
        <f aca="false">Z16+AL16</f>
        <v>0</v>
      </c>
      <c r="AY16" s="35" t="n">
        <f aca="false">AA16+AM16</f>
        <v>6</v>
      </c>
      <c r="AZ16" s="36" t="n">
        <f aca="false">AO16</f>
        <v>7</v>
      </c>
      <c r="BA16" s="36" t="n">
        <f aca="false">SUM(AN16:AO16)</f>
        <v>7</v>
      </c>
      <c r="BB16" s="36" t="n">
        <f aca="false">S16+AE16</f>
        <v>39</v>
      </c>
      <c r="BC16" s="36" t="n">
        <f aca="false">SUM(AP16:AQ16)</f>
        <v>39</v>
      </c>
      <c r="BD16" s="36" t="n">
        <f aca="false">U16+AG16</f>
        <v>11</v>
      </c>
      <c r="BE16" s="36" t="n">
        <f aca="false">SUM(AR16:AS16)</f>
        <v>11</v>
      </c>
      <c r="BF16" s="36" t="n">
        <f aca="false">W16+AI16</f>
        <v>33</v>
      </c>
      <c r="BG16" s="36" t="n">
        <f aca="false">SUM(AT16:AU16)</f>
        <v>33</v>
      </c>
      <c r="BH16" s="36" t="n">
        <f aca="false">Y16+AK16</f>
        <v>2</v>
      </c>
      <c r="BI16" s="36" t="n">
        <f aca="false">SUM(AV16:AW16)</f>
        <v>2</v>
      </c>
      <c r="BJ16" s="36" t="n">
        <f aca="false">AA16+AM16</f>
        <v>6</v>
      </c>
      <c r="BK16" s="36" t="n">
        <f aca="false">SUM(AX16:AY16)</f>
        <v>6</v>
      </c>
      <c r="BL16" s="37" t="n">
        <f aca="false">BE16+BI16</f>
        <v>13</v>
      </c>
      <c r="BM16" s="37" t="n">
        <f aca="false">BG16+BK16</f>
        <v>39</v>
      </c>
      <c r="BN16" s="38" t="n">
        <f aca="false">BL16+BM16</f>
        <v>52</v>
      </c>
      <c r="BO16" s="39" t="n">
        <f aca="false">BN16/N16*100</f>
        <v>15.7099697885196</v>
      </c>
      <c r="BP16" s="10" t="n">
        <v>24</v>
      </c>
      <c r="BQ16" s="10" t="n">
        <v>0</v>
      </c>
      <c r="BR16" s="10" t="n">
        <v>0</v>
      </c>
      <c r="BS16" s="10" t="n">
        <v>8</v>
      </c>
      <c r="BT16" s="10" t="n">
        <v>0</v>
      </c>
      <c r="BU16" s="10" t="n">
        <v>0</v>
      </c>
    </row>
    <row r="17" s="41" customFormat="true" ht="32.25" hidden="false" customHeight="true" outlineLevel="0" collapsed="false">
      <c r="A17" s="27" t="n">
        <v>5</v>
      </c>
      <c r="B17" s="28" t="s">
        <v>47</v>
      </c>
      <c r="C17" s="10" t="n">
        <v>3</v>
      </c>
      <c r="D17" s="10" t="n">
        <v>0</v>
      </c>
      <c r="E17" s="10" t="n">
        <v>3</v>
      </c>
      <c r="F17" s="10" t="n">
        <v>0</v>
      </c>
      <c r="G17" s="10" t="n">
        <v>0</v>
      </c>
      <c r="H17" s="29" t="n">
        <v>302</v>
      </c>
      <c r="I17" s="29" t="n">
        <v>303</v>
      </c>
      <c r="J17" s="30" t="n">
        <v>155</v>
      </c>
      <c r="K17" s="30" t="n">
        <v>110</v>
      </c>
      <c r="L17" s="30" t="n">
        <v>75</v>
      </c>
      <c r="M17" s="30" t="n">
        <v>80</v>
      </c>
      <c r="N17" s="31" t="n">
        <f aca="false">SUM(J17:M17)</f>
        <v>420</v>
      </c>
      <c r="O17" s="32" t="n">
        <v>0</v>
      </c>
      <c r="P17" s="33"/>
      <c r="Q17" s="33" t="n">
        <v>10</v>
      </c>
      <c r="R17" s="33"/>
      <c r="S17" s="33" t="n">
        <v>22</v>
      </c>
      <c r="T17" s="33"/>
      <c r="U17" s="34" t="n">
        <v>10</v>
      </c>
      <c r="V17" s="33"/>
      <c r="W17" s="34" t="n">
        <v>10</v>
      </c>
      <c r="X17" s="33"/>
      <c r="Y17" s="34" t="n">
        <v>4</v>
      </c>
      <c r="Z17" s="33"/>
      <c r="AA17" s="34" t="n">
        <v>8</v>
      </c>
      <c r="AB17" s="33"/>
      <c r="AC17" s="33" t="n">
        <v>8</v>
      </c>
      <c r="AD17" s="33"/>
      <c r="AE17" s="33" t="n">
        <v>14</v>
      </c>
      <c r="AF17" s="33"/>
      <c r="AG17" s="34" t="n">
        <v>2</v>
      </c>
      <c r="AH17" s="33"/>
      <c r="AI17" s="34" t="n">
        <v>5</v>
      </c>
      <c r="AJ17" s="33"/>
      <c r="AK17" s="34" t="n">
        <v>2</v>
      </c>
      <c r="AL17" s="33"/>
      <c r="AM17" s="34" t="n">
        <v>3</v>
      </c>
      <c r="AN17" s="35" t="n">
        <f aca="false">P17+AB17</f>
        <v>0</v>
      </c>
      <c r="AO17" s="35" t="n">
        <f aca="false">Q17+AC17</f>
        <v>18</v>
      </c>
      <c r="AP17" s="35" t="n">
        <f aca="false">R17+AD17</f>
        <v>0</v>
      </c>
      <c r="AQ17" s="35" t="n">
        <f aca="false">S17+AE17</f>
        <v>36</v>
      </c>
      <c r="AR17" s="35" t="n">
        <f aca="false">T17+AF17</f>
        <v>0</v>
      </c>
      <c r="AS17" s="35" t="n">
        <f aca="false">U17+AG17</f>
        <v>12</v>
      </c>
      <c r="AT17" s="35" t="n">
        <f aca="false">V17+AH17</f>
        <v>0</v>
      </c>
      <c r="AU17" s="35" t="n">
        <f aca="false">W17+AI17</f>
        <v>15</v>
      </c>
      <c r="AV17" s="35" t="n">
        <f aca="false">X17+AJ17</f>
        <v>0</v>
      </c>
      <c r="AW17" s="35" t="n">
        <f aca="false">Y17+AK17</f>
        <v>6</v>
      </c>
      <c r="AX17" s="35" t="n">
        <f aca="false">Z17+AL17</f>
        <v>0</v>
      </c>
      <c r="AY17" s="35" t="n">
        <f aca="false">AA17+AM17</f>
        <v>11</v>
      </c>
      <c r="AZ17" s="36" t="n">
        <f aca="false">AO17</f>
        <v>18</v>
      </c>
      <c r="BA17" s="36" t="n">
        <f aca="false">SUM(AN17:AO17)</f>
        <v>18</v>
      </c>
      <c r="BB17" s="36" t="n">
        <f aca="false">S17+AE17</f>
        <v>36</v>
      </c>
      <c r="BC17" s="36" t="n">
        <f aca="false">SUM(AP17:AQ17)</f>
        <v>36</v>
      </c>
      <c r="BD17" s="36" t="n">
        <f aca="false">U17+AG17</f>
        <v>12</v>
      </c>
      <c r="BE17" s="36" t="n">
        <f aca="false">SUM(AR17:AS17)</f>
        <v>12</v>
      </c>
      <c r="BF17" s="36" t="n">
        <f aca="false">W17+AI17</f>
        <v>15</v>
      </c>
      <c r="BG17" s="36" t="n">
        <f aca="false">SUM(AT17:AU17)</f>
        <v>15</v>
      </c>
      <c r="BH17" s="36" t="n">
        <f aca="false">Y17+AK17</f>
        <v>6</v>
      </c>
      <c r="BI17" s="36" t="n">
        <f aca="false">SUM(AV17:AW17)</f>
        <v>6</v>
      </c>
      <c r="BJ17" s="36" t="n">
        <f aca="false">AA17+AM17</f>
        <v>11</v>
      </c>
      <c r="BK17" s="36" t="n">
        <f aca="false">SUM(AX17:AY17)</f>
        <v>11</v>
      </c>
      <c r="BL17" s="37" t="n">
        <f aca="false">BE17+BI17</f>
        <v>18</v>
      </c>
      <c r="BM17" s="37" t="n">
        <f aca="false">BG17+BK17</f>
        <v>26</v>
      </c>
      <c r="BN17" s="38" t="n">
        <f aca="false">BL17+BM17</f>
        <v>44</v>
      </c>
      <c r="BO17" s="39" t="n">
        <f aca="false">BN17/N17*100</f>
        <v>10.4761904761905</v>
      </c>
      <c r="BP17" s="10" t="n">
        <v>57</v>
      </c>
      <c r="BQ17" s="10" t="n">
        <v>1</v>
      </c>
      <c r="BR17" s="10" t="n">
        <v>0</v>
      </c>
      <c r="BS17" s="10" t="n">
        <v>49</v>
      </c>
      <c r="BT17" s="10" t="n">
        <v>0</v>
      </c>
      <c r="BU17" s="10" t="n">
        <v>0</v>
      </c>
    </row>
    <row r="18" s="46" customFormat="true" ht="36.75" hidden="false" customHeight="true" outlineLevel="0" collapsed="false">
      <c r="A18" s="15" t="s">
        <v>48</v>
      </c>
      <c r="B18" s="15"/>
      <c r="C18" s="21" t="n">
        <f aca="false">SUM(C12:C17)</f>
        <v>15</v>
      </c>
      <c r="D18" s="21" t="n">
        <f aca="false">SUM(D12:D17)</f>
        <v>0</v>
      </c>
      <c r="E18" s="21" t="n">
        <f aca="false">SUM(E12:E17)</f>
        <v>15</v>
      </c>
      <c r="F18" s="21" t="n">
        <f aca="false">SUM(F12:F17)</f>
        <v>0</v>
      </c>
      <c r="G18" s="21" t="n">
        <f aca="false">SUM(G12:G17)</f>
        <v>0</v>
      </c>
      <c r="H18" s="31" t="n">
        <f aca="false">SUM(H12:H17)</f>
        <v>1548</v>
      </c>
      <c r="I18" s="31" t="n">
        <f aca="false">SUM(I12:I17)</f>
        <v>1604</v>
      </c>
      <c r="J18" s="31" t="n">
        <f aca="false">SUM(J12:J17)</f>
        <v>765</v>
      </c>
      <c r="K18" s="31" t="n">
        <f aca="false">SUM(K12:K17)</f>
        <v>814</v>
      </c>
      <c r="L18" s="31" t="n">
        <f aca="false">SUM(L12:L17)</f>
        <v>440</v>
      </c>
      <c r="M18" s="31" t="n">
        <f aca="false">SUM(M12:M17)</f>
        <v>480</v>
      </c>
      <c r="N18" s="31" t="n">
        <f aca="false">SUM(J18:M18)</f>
        <v>2499</v>
      </c>
      <c r="O18" s="31" t="n">
        <v>1506</v>
      </c>
      <c r="P18" s="21" t="n">
        <f aca="false">SUM(P12:P17)</f>
        <v>0</v>
      </c>
      <c r="Q18" s="21" t="n">
        <f aca="false">SUM(Q12:Q17)</f>
        <v>54</v>
      </c>
      <c r="R18" s="21" t="n">
        <f aca="false">SUM(R12:R17)</f>
        <v>0</v>
      </c>
      <c r="S18" s="21" t="n">
        <f aca="false">SUM(S12:S17)</f>
        <v>165</v>
      </c>
      <c r="T18" s="21" t="n">
        <f aca="false">SUM(T12:T17)</f>
        <v>0</v>
      </c>
      <c r="U18" s="44" t="n">
        <f aca="false">SUM(U12:U17)</f>
        <v>71</v>
      </c>
      <c r="V18" s="44" t="n">
        <f aca="false">SUM(V12:V17)</f>
        <v>0</v>
      </c>
      <c r="W18" s="44" t="n">
        <f aca="false">SUM(W12:W17)</f>
        <v>102</v>
      </c>
      <c r="X18" s="44" t="n">
        <f aca="false">SUM(X12:X17)</f>
        <v>0</v>
      </c>
      <c r="Y18" s="44" t="n">
        <f aca="false">SUM(Y12:Y17)</f>
        <v>50</v>
      </c>
      <c r="Z18" s="44" t="n">
        <f aca="false">SUM(Z12:Z17)</f>
        <v>0</v>
      </c>
      <c r="AA18" s="44" t="n">
        <f aca="false">SUM(AA12:AA17)</f>
        <v>62</v>
      </c>
      <c r="AB18" s="21" t="n">
        <f aca="false">SUM(AB12:AB17)</f>
        <v>0</v>
      </c>
      <c r="AC18" s="21" t="n">
        <f aca="false">SUM(AC12:AC17)</f>
        <v>27</v>
      </c>
      <c r="AD18" s="21" t="n">
        <f aca="false">SUM(AD12:AD17)</f>
        <v>0</v>
      </c>
      <c r="AE18" s="21" t="n">
        <f aca="false">SUM(AE12:AE17)</f>
        <v>68</v>
      </c>
      <c r="AF18" s="44" t="n">
        <f aca="false">SUM(AF12:AF17)</f>
        <v>0</v>
      </c>
      <c r="AG18" s="44" t="n">
        <f aca="false">SUM(AG12:AG17)</f>
        <v>25</v>
      </c>
      <c r="AH18" s="44" t="n">
        <f aca="false">SUM(AH12:AH17)</f>
        <v>0</v>
      </c>
      <c r="AI18" s="44" t="n">
        <f aca="false">SUM(AI12:AI17)</f>
        <v>56</v>
      </c>
      <c r="AJ18" s="44" t="n">
        <f aca="false">SUM(AJ12:AJ17)</f>
        <v>0</v>
      </c>
      <c r="AK18" s="44" t="n">
        <f aca="false">SUM(AK12:AK17)</f>
        <v>10</v>
      </c>
      <c r="AL18" s="44" t="n">
        <f aca="false">SUM(AL12:AL17)</f>
        <v>0</v>
      </c>
      <c r="AM18" s="44" t="n">
        <f aca="false">SUM(AM12:AM17)</f>
        <v>19</v>
      </c>
      <c r="AN18" s="21" t="n">
        <f aca="false">SUM(AN12:AN17)</f>
        <v>0</v>
      </c>
      <c r="AO18" s="21" t="n">
        <f aca="false">SUM(AO12:AO17)</f>
        <v>81</v>
      </c>
      <c r="AP18" s="21" t="n">
        <f aca="false">SUM(AP12:AP17)</f>
        <v>0</v>
      </c>
      <c r="AQ18" s="21" t="n">
        <f aca="false">SUM(AQ12:AQ17)</f>
        <v>233</v>
      </c>
      <c r="AR18" s="44" t="n">
        <f aca="false">SUM(AR12:AR17)</f>
        <v>0</v>
      </c>
      <c r="AS18" s="44" t="n">
        <f aca="false">SUM(AS12:AS17)</f>
        <v>96</v>
      </c>
      <c r="AT18" s="44" t="n">
        <f aca="false">SUM(AT12:AT17)</f>
        <v>0</v>
      </c>
      <c r="AU18" s="44" t="n">
        <f aca="false">SUM(AU12:AU17)</f>
        <v>158</v>
      </c>
      <c r="AV18" s="44" t="n">
        <f aca="false">SUM(AV12:AV17)</f>
        <v>0</v>
      </c>
      <c r="AW18" s="44" t="n">
        <f aca="false">SUM(AW12:AW17)</f>
        <v>60</v>
      </c>
      <c r="AX18" s="44" t="n">
        <f aca="false">SUM(AX12:AX17)</f>
        <v>0</v>
      </c>
      <c r="AY18" s="44" t="n">
        <f aca="false">SUM(AY12:AY17)</f>
        <v>81</v>
      </c>
      <c r="AZ18" s="21" t="n">
        <f aca="false">SUM(AZ12:AZ17)</f>
        <v>81</v>
      </c>
      <c r="BA18" s="21" t="n">
        <f aca="false">SUM(BA12:BA17)</f>
        <v>81</v>
      </c>
      <c r="BB18" s="21" t="n">
        <f aca="false">SUM(BB12:BB17)</f>
        <v>233</v>
      </c>
      <c r="BC18" s="21" t="n">
        <f aca="false">SUM(BC12:BC17)</f>
        <v>233</v>
      </c>
      <c r="BD18" s="21" t="n">
        <f aca="false">SUM(BD12:BD17)</f>
        <v>96</v>
      </c>
      <c r="BE18" s="21" t="n">
        <f aca="false">SUM(BE12:BE17)</f>
        <v>96</v>
      </c>
      <c r="BF18" s="21" t="n">
        <f aca="false">SUM(BF12:BF17)</f>
        <v>158</v>
      </c>
      <c r="BG18" s="21" t="n">
        <f aca="false">SUM(BG12:BG17)</f>
        <v>158</v>
      </c>
      <c r="BH18" s="21" t="n">
        <f aca="false">SUM(BH12:BH17)</f>
        <v>60</v>
      </c>
      <c r="BI18" s="21" t="n">
        <f aca="false">SUM(BI12:BI17)</f>
        <v>60</v>
      </c>
      <c r="BJ18" s="21" t="n">
        <f aca="false">SUM(BJ12:BJ17)</f>
        <v>81</v>
      </c>
      <c r="BK18" s="21" t="n">
        <f aca="false">SUM(BK12:BK17)</f>
        <v>81</v>
      </c>
      <c r="BL18" s="21" t="n">
        <f aca="false">SUM(BL12:BL17)</f>
        <v>156</v>
      </c>
      <c r="BM18" s="21" t="n">
        <f aca="false">SUM(BM12:BM17)</f>
        <v>239</v>
      </c>
      <c r="BN18" s="45" t="n">
        <f aca="false">SUM(BN12:BN17)</f>
        <v>395</v>
      </c>
      <c r="BO18" s="45" t="n">
        <f aca="false">BN18/N18*100</f>
        <v>15.8063225290116</v>
      </c>
      <c r="BP18" s="21" t="n">
        <f aca="false">SUM(BP12:BP17)</f>
        <v>287</v>
      </c>
      <c r="BQ18" s="21" t="n">
        <f aca="false">SUM(BQ12:BQ17)</f>
        <v>1</v>
      </c>
      <c r="BR18" s="21" t="n">
        <f aca="false">SUM(BR12:BR17)</f>
        <v>0</v>
      </c>
      <c r="BS18" s="21" t="n">
        <f aca="false">SUM(BS12:BS17)</f>
        <v>186</v>
      </c>
      <c r="BT18" s="21" t="n">
        <f aca="false">SUM(BT12:BT17)</f>
        <v>0</v>
      </c>
      <c r="BU18" s="21" t="n">
        <f aca="false">SUM(BU12:BU17)</f>
        <v>0</v>
      </c>
    </row>
    <row r="19" customFormat="false" ht="15.75" hidden="false" customHeight="false" outlineLevel="0" collapsed="false">
      <c r="A19" s="47"/>
      <c r="B19" s="48"/>
      <c r="C19" s="48"/>
      <c r="D19" s="48"/>
      <c r="E19" s="48"/>
      <c r="F19" s="48"/>
      <c r="G19" s="48"/>
      <c r="H19" s="49"/>
      <c r="I19" s="49"/>
      <c r="J19" s="49"/>
      <c r="K19" s="49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</row>
    <row r="20" customFormat="false" ht="15.75" hidden="false" customHeight="false" outlineLevel="0" collapsed="false">
      <c r="BL20" s="47"/>
      <c r="BM20" s="47"/>
      <c r="BN20" s="47"/>
      <c r="BO20" s="47"/>
      <c r="BP20" s="47"/>
      <c r="BQ20" s="47"/>
      <c r="BR20" s="47"/>
      <c r="BS20" s="47"/>
      <c r="BT20" s="47"/>
      <c r="BU20" s="47"/>
    </row>
    <row r="21" customFormat="false" ht="22.05" hidden="false" customHeight="false" outlineLevel="0" collapsed="false"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BB21" s="50" t="s">
        <v>49</v>
      </c>
      <c r="BC21" s="50"/>
      <c r="BD21" s="51" t="s">
        <v>50</v>
      </c>
      <c r="BE21" s="52"/>
      <c r="BF21" s="52"/>
      <c r="BG21" s="52"/>
      <c r="BH21" s="52"/>
      <c r="BI21" s="52"/>
      <c r="BJ21" s="53"/>
      <c r="BL21" s="54"/>
      <c r="BM21" s="54"/>
      <c r="BN21" s="55" t="s">
        <v>51</v>
      </c>
      <c r="BO21" s="55"/>
      <c r="BP21" s="55"/>
      <c r="BQ21" s="47"/>
      <c r="BR21" s="47"/>
      <c r="BS21" s="47"/>
      <c r="BT21" s="47"/>
      <c r="BU21" s="47"/>
    </row>
    <row r="22" customFormat="false" ht="19.7" hidden="false" customHeight="false" outlineLevel="0" collapsed="false">
      <c r="D22" s="55"/>
      <c r="E22" s="55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BD22" s="56"/>
      <c r="BE22" s="57"/>
      <c r="BF22" s="57"/>
      <c r="BG22" s="57"/>
      <c r="BH22" s="57"/>
      <c r="BI22" s="57"/>
      <c r="BJ22" s="58"/>
      <c r="BL22" s="54"/>
      <c r="BM22" s="54"/>
      <c r="BQ22" s="47"/>
      <c r="BR22" s="47"/>
      <c r="BS22" s="47"/>
      <c r="BT22" s="47"/>
      <c r="BU22" s="47"/>
    </row>
    <row r="23" customFormat="false" ht="15.75" hidden="false" customHeight="false" outlineLevel="0" collapsed="false">
      <c r="A23" s="2" t="s">
        <v>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</row>
    <row r="25" customFormat="false" ht="15.75" hidden="false" customHeight="false" outlineLevel="0" collapsed="false">
      <c r="A25" s="3" t="s">
        <v>1</v>
      </c>
      <c r="B25" s="4"/>
      <c r="C25" s="4" t="s">
        <v>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</row>
    <row r="26" customFormat="false" ht="15.75" hidden="false" customHeight="false" outlineLevel="0" collapsed="false">
      <c r="A26" s="3" t="s">
        <v>3</v>
      </c>
      <c r="B26" s="4"/>
      <c r="C26" s="4" t="s">
        <v>4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</row>
    <row r="27" customFormat="false" ht="15.75" hidden="false" customHeight="false" outlineLevel="0" collapsed="false">
      <c r="A27" s="3" t="s">
        <v>5</v>
      </c>
      <c r="B27" s="4"/>
      <c r="C27" s="4" t="s">
        <v>52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</row>
    <row r="28" customFormat="false" ht="15.75" hidden="false" customHeight="false" outlineLevel="0" collapsed="false">
      <c r="A28" s="4"/>
      <c r="B28" s="4"/>
      <c r="C28" s="4"/>
      <c r="D28" s="4"/>
      <c r="E28" s="4"/>
      <c r="F28" s="4"/>
      <c r="G28" s="4"/>
      <c r="H28" s="5"/>
      <c r="I28" s="5"/>
      <c r="J28" s="5"/>
      <c r="K28" s="5"/>
      <c r="L28" s="5"/>
      <c r="M28" s="5"/>
      <c r="N28" s="5"/>
      <c r="O28" s="5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</row>
    <row r="29" customFormat="false" ht="33.75" hidden="false" customHeight="true" outlineLevel="0" collapsed="false">
      <c r="A29" s="7" t="s">
        <v>7</v>
      </c>
      <c r="B29" s="8" t="s">
        <v>8</v>
      </c>
      <c r="C29" s="8" t="s">
        <v>9</v>
      </c>
      <c r="D29" s="9" t="s">
        <v>10</v>
      </c>
      <c r="E29" s="9" t="s">
        <v>11</v>
      </c>
      <c r="F29" s="9" t="s">
        <v>12</v>
      </c>
      <c r="G29" s="9" t="s">
        <v>13</v>
      </c>
      <c r="H29" s="10" t="s">
        <v>14</v>
      </c>
      <c r="I29" s="10"/>
      <c r="J29" s="10"/>
      <c r="K29" s="10"/>
      <c r="L29" s="10"/>
      <c r="M29" s="11"/>
      <c r="N29" s="11"/>
      <c r="O29" s="8" t="s">
        <v>15</v>
      </c>
      <c r="P29" s="11" t="s">
        <v>16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0" t="s">
        <v>17</v>
      </c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7" t="s">
        <v>18</v>
      </c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 t="s">
        <v>19</v>
      </c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8" t="s">
        <v>20</v>
      </c>
      <c r="BM29" s="8"/>
      <c r="BN29" s="8"/>
      <c r="BO29" s="8"/>
      <c r="BP29" s="7" t="s">
        <v>21</v>
      </c>
      <c r="BQ29" s="7"/>
      <c r="BR29" s="7"/>
      <c r="BS29" s="7" t="s">
        <v>21</v>
      </c>
      <c r="BT29" s="7"/>
      <c r="BU29" s="7"/>
    </row>
    <row r="30" customFormat="false" ht="44.25" hidden="false" customHeight="true" outlineLevel="0" collapsed="false">
      <c r="A30" s="7"/>
      <c r="B30" s="8"/>
      <c r="C30" s="8"/>
      <c r="D30" s="9"/>
      <c r="E30" s="9"/>
      <c r="F30" s="9"/>
      <c r="G30" s="9"/>
      <c r="H30" s="7" t="s">
        <v>22</v>
      </c>
      <c r="I30" s="7"/>
      <c r="J30" s="7" t="s">
        <v>23</v>
      </c>
      <c r="K30" s="7"/>
      <c r="L30" s="7" t="s">
        <v>24</v>
      </c>
      <c r="M30" s="7"/>
      <c r="N30" s="12" t="s">
        <v>25</v>
      </c>
      <c r="O30" s="8"/>
      <c r="P30" s="11" t="s">
        <v>22</v>
      </c>
      <c r="Q30" s="11"/>
      <c r="R30" s="11"/>
      <c r="S30" s="11"/>
      <c r="T30" s="10" t="s">
        <v>23</v>
      </c>
      <c r="U30" s="10"/>
      <c r="V30" s="10"/>
      <c r="W30" s="10"/>
      <c r="X30" s="10" t="s">
        <v>24</v>
      </c>
      <c r="Y30" s="10"/>
      <c r="Z30" s="10"/>
      <c r="AA30" s="10"/>
      <c r="AB30" s="10" t="s">
        <v>22</v>
      </c>
      <c r="AC30" s="10"/>
      <c r="AD30" s="10"/>
      <c r="AE30" s="10"/>
      <c r="AF30" s="10" t="s">
        <v>23</v>
      </c>
      <c r="AG30" s="10"/>
      <c r="AH30" s="10"/>
      <c r="AI30" s="10"/>
      <c r="AJ30" s="10" t="s">
        <v>24</v>
      </c>
      <c r="AK30" s="10"/>
      <c r="AL30" s="10"/>
      <c r="AM30" s="10"/>
      <c r="AN30" s="7" t="s">
        <v>22</v>
      </c>
      <c r="AO30" s="7"/>
      <c r="AP30" s="7"/>
      <c r="AQ30" s="7"/>
      <c r="AR30" s="7" t="s">
        <v>23</v>
      </c>
      <c r="AS30" s="7"/>
      <c r="AT30" s="7"/>
      <c r="AU30" s="7"/>
      <c r="AV30" s="7" t="s">
        <v>24</v>
      </c>
      <c r="AW30" s="7"/>
      <c r="AX30" s="7"/>
      <c r="AY30" s="7"/>
      <c r="AZ30" s="7" t="s">
        <v>22</v>
      </c>
      <c r="BA30" s="7"/>
      <c r="BB30" s="7"/>
      <c r="BC30" s="7"/>
      <c r="BD30" s="7" t="s">
        <v>23</v>
      </c>
      <c r="BE30" s="7"/>
      <c r="BF30" s="7"/>
      <c r="BG30" s="7"/>
      <c r="BH30" s="7" t="s">
        <v>24</v>
      </c>
      <c r="BI30" s="7"/>
      <c r="BJ30" s="7"/>
      <c r="BK30" s="7"/>
      <c r="BL30" s="7" t="s">
        <v>26</v>
      </c>
      <c r="BM30" s="7"/>
      <c r="BN30" s="7"/>
      <c r="BO30" s="7"/>
      <c r="BP30" s="7" t="s">
        <v>27</v>
      </c>
      <c r="BQ30" s="7"/>
      <c r="BR30" s="7"/>
      <c r="BS30" s="7" t="s">
        <v>28</v>
      </c>
      <c r="BT30" s="7"/>
      <c r="BU30" s="7"/>
    </row>
    <row r="31" customFormat="false" ht="27" hidden="false" customHeight="true" outlineLevel="0" collapsed="false">
      <c r="A31" s="7"/>
      <c r="B31" s="8"/>
      <c r="C31" s="8"/>
      <c r="D31" s="9"/>
      <c r="E31" s="9"/>
      <c r="F31" s="9"/>
      <c r="G31" s="9"/>
      <c r="H31" s="7" t="s">
        <v>29</v>
      </c>
      <c r="I31" s="7" t="s">
        <v>30</v>
      </c>
      <c r="J31" s="7" t="s">
        <v>29</v>
      </c>
      <c r="K31" s="7" t="s">
        <v>30</v>
      </c>
      <c r="L31" s="7" t="s">
        <v>29</v>
      </c>
      <c r="M31" s="7" t="s">
        <v>30</v>
      </c>
      <c r="N31" s="12"/>
      <c r="O31" s="8"/>
      <c r="P31" s="11" t="s">
        <v>29</v>
      </c>
      <c r="Q31" s="11"/>
      <c r="R31" s="10" t="s">
        <v>30</v>
      </c>
      <c r="S31" s="10"/>
      <c r="T31" s="10" t="s">
        <v>29</v>
      </c>
      <c r="U31" s="10"/>
      <c r="V31" s="10" t="s">
        <v>30</v>
      </c>
      <c r="W31" s="10"/>
      <c r="X31" s="10" t="s">
        <v>29</v>
      </c>
      <c r="Y31" s="10"/>
      <c r="Z31" s="10" t="s">
        <v>30</v>
      </c>
      <c r="AA31" s="10"/>
      <c r="AB31" s="10" t="s">
        <v>29</v>
      </c>
      <c r="AC31" s="10"/>
      <c r="AD31" s="10" t="s">
        <v>30</v>
      </c>
      <c r="AE31" s="10"/>
      <c r="AF31" s="10" t="s">
        <v>29</v>
      </c>
      <c r="AG31" s="10"/>
      <c r="AH31" s="10" t="s">
        <v>30</v>
      </c>
      <c r="AI31" s="10"/>
      <c r="AJ31" s="10" t="s">
        <v>29</v>
      </c>
      <c r="AK31" s="10"/>
      <c r="AL31" s="10" t="s">
        <v>30</v>
      </c>
      <c r="AM31" s="10"/>
      <c r="AN31" s="13" t="s">
        <v>29</v>
      </c>
      <c r="AO31" s="13"/>
      <c r="AP31" s="13" t="s">
        <v>30</v>
      </c>
      <c r="AQ31" s="13"/>
      <c r="AR31" s="13" t="s">
        <v>29</v>
      </c>
      <c r="AS31" s="13"/>
      <c r="AT31" s="13" t="s">
        <v>30</v>
      </c>
      <c r="AU31" s="13"/>
      <c r="AV31" s="13" t="s">
        <v>29</v>
      </c>
      <c r="AW31" s="13"/>
      <c r="AX31" s="13" t="s">
        <v>30</v>
      </c>
      <c r="AY31" s="13"/>
      <c r="AZ31" s="14" t="s">
        <v>29</v>
      </c>
      <c r="BA31" s="14"/>
      <c r="BB31" s="14" t="s">
        <v>30</v>
      </c>
      <c r="BC31" s="14"/>
      <c r="BD31" s="14" t="s">
        <v>29</v>
      </c>
      <c r="BE31" s="14"/>
      <c r="BF31" s="14" t="s">
        <v>30</v>
      </c>
      <c r="BG31" s="14"/>
      <c r="BH31" s="14" t="s">
        <v>29</v>
      </c>
      <c r="BI31" s="14"/>
      <c r="BJ31" s="14" t="s">
        <v>30</v>
      </c>
      <c r="BK31" s="14"/>
      <c r="BL31" s="15" t="s">
        <v>29</v>
      </c>
      <c r="BM31" s="15" t="s">
        <v>30</v>
      </c>
      <c r="BN31" s="15" t="s">
        <v>31</v>
      </c>
      <c r="BO31" s="15" t="s">
        <v>32</v>
      </c>
      <c r="BP31" s="7" t="s">
        <v>33</v>
      </c>
      <c r="BQ31" s="7" t="s">
        <v>34</v>
      </c>
      <c r="BR31" s="7" t="s">
        <v>35</v>
      </c>
      <c r="BS31" s="7" t="s">
        <v>33</v>
      </c>
      <c r="BT31" s="7" t="s">
        <v>34</v>
      </c>
      <c r="BU31" s="7" t="s">
        <v>35</v>
      </c>
    </row>
    <row r="32" customFormat="false" ht="85.5" hidden="false" customHeight="true" outlineLevel="0" collapsed="false">
      <c r="A32" s="7"/>
      <c r="B32" s="8"/>
      <c r="C32" s="8"/>
      <c r="D32" s="9"/>
      <c r="E32" s="9"/>
      <c r="F32" s="9"/>
      <c r="G32" s="9"/>
      <c r="H32" s="7"/>
      <c r="I32" s="7"/>
      <c r="J32" s="7"/>
      <c r="K32" s="7"/>
      <c r="L32" s="7"/>
      <c r="M32" s="7"/>
      <c r="N32" s="12"/>
      <c r="O32" s="8"/>
      <c r="P32" s="16" t="s">
        <v>36</v>
      </c>
      <c r="Q32" s="17" t="s">
        <v>37</v>
      </c>
      <c r="R32" s="17" t="s">
        <v>36</v>
      </c>
      <c r="S32" s="17" t="s">
        <v>37</v>
      </c>
      <c r="T32" s="17" t="s">
        <v>36</v>
      </c>
      <c r="U32" s="17" t="s">
        <v>37</v>
      </c>
      <c r="V32" s="17" t="s">
        <v>36</v>
      </c>
      <c r="W32" s="17" t="s">
        <v>37</v>
      </c>
      <c r="X32" s="17" t="s">
        <v>36</v>
      </c>
      <c r="Y32" s="17" t="s">
        <v>37</v>
      </c>
      <c r="Z32" s="17" t="s">
        <v>36</v>
      </c>
      <c r="AA32" s="17" t="s">
        <v>37</v>
      </c>
      <c r="AB32" s="17" t="s">
        <v>36</v>
      </c>
      <c r="AC32" s="17" t="s">
        <v>37</v>
      </c>
      <c r="AD32" s="17" t="s">
        <v>36</v>
      </c>
      <c r="AE32" s="17" t="s">
        <v>37</v>
      </c>
      <c r="AF32" s="17" t="s">
        <v>36</v>
      </c>
      <c r="AG32" s="17" t="s">
        <v>37</v>
      </c>
      <c r="AH32" s="17" t="s">
        <v>36</v>
      </c>
      <c r="AI32" s="17" t="s">
        <v>37</v>
      </c>
      <c r="AJ32" s="17" t="s">
        <v>36</v>
      </c>
      <c r="AK32" s="17" t="s">
        <v>37</v>
      </c>
      <c r="AL32" s="17" t="s">
        <v>36</v>
      </c>
      <c r="AM32" s="17" t="s">
        <v>37</v>
      </c>
      <c r="AN32" s="18" t="s">
        <v>38</v>
      </c>
      <c r="AO32" s="18" t="s">
        <v>39</v>
      </c>
      <c r="AP32" s="18" t="s">
        <v>38</v>
      </c>
      <c r="AQ32" s="18" t="s">
        <v>39</v>
      </c>
      <c r="AR32" s="18" t="s">
        <v>38</v>
      </c>
      <c r="AS32" s="18" t="s">
        <v>39</v>
      </c>
      <c r="AT32" s="18" t="s">
        <v>38</v>
      </c>
      <c r="AU32" s="18" t="s">
        <v>39</v>
      </c>
      <c r="AV32" s="18" t="s">
        <v>38</v>
      </c>
      <c r="AW32" s="18" t="s">
        <v>39</v>
      </c>
      <c r="AX32" s="18" t="s">
        <v>38</v>
      </c>
      <c r="AY32" s="18" t="s">
        <v>39</v>
      </c>
      <c r="AZ32" s="19" t="s">
        <v>40</v>
      </c>
      <c r="BA32" s="20" t="s">
        <v>41</v>
      </c>
      <c r="BB32" s="19" t="s">
        <v>40</v>
      </c>
      <c r="BC32" s="20" t="s">
        <v>41</v>
      </c>
      <c r="BD32" s="19" t="s">
        <v>40</v>
      </c>
      <c r="BE32" s="20" t="s">
        <v>41</v>
      </c>
      <c r="BF32" s="19" t="s">
        <v>40</v>
      </c>
      <c r="BG32" s="20" t="s">
        <v>41</v>
      </c>
      <c r="BH32" s="19" t="s">
        <v>40</v>
      </c>
      <c r="BI32" s="20" t="s">
        <v>41</v>
      </c>
      <c r="BJ32" s="19" t="s">
        <v>40</v>
      </c>
      <c r="BK32" s="20" t="s">
        <v>41</v>
      </c>
      <c r="BL32" s="21" t="s">
        <v>41</v>
      </c>
      <c r="BM32" s="21" t="s">
        <v>41</v>
      </c>
      <c r="BN32" s="15"/>
      <c r="BO32" s="15"/>
      <c r="BP32" s="7"/>
      <c r="BQ32" s="7"/>
      <c r="BR32" s="7"/>
      <c r="BS32" s="7"/>
      <c r="BT32" s="7"/>
      <c r="BU32" s="7"/>
    </row>
    <row r="33" s="26" customFormat="true" ht="13.5" hidden="false" customHeight="true" outlineLevel="0" collapsed="false">
      <c r="A33" s="22" t="n">
        <v>1</v>
      </c>
      <c r="B33" s="23" t="n">
        <v>2</v>
      </c>
      <c r="C33" s="23" t="n">
        <f aca="false">+B33+1</f>
        <v>3</v>
      </c>
      <c r="D33" s="23" t="n">
        <v>4</v>
      </c>
      <c r="E33" s="23" t="n">
        <v>5</v>
      </c>
      <c r="F33" s="23" t="n">
        <v>6</v>
      </c>
      <c r="G33" s="23" t="n">
        <v>7</v>
      </c>
      <c r="H33" s="24" t="n">
        <v>8</v>
      </c>
      <c r="I33" s="24"/>
      <c r="J33" s="24"/>
      <c r="K33" s="24"/>
      <c r="L33" s="24"/>
      <c r="M33" s="24"/>
      <c r="N33" s="25" t="n">
        <v>9</v>
      </c>
      <c r="O33" s="24" t="n">
        <v>10</v>
      </c>
      <c r="P33" s="24" t="n">
        <v>11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3" t="n">
        <v>12</v>
      </c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13" t="n">
        <v>13</v>
      </c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4" t="n">
        <v>14</v>
      </c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5" t="n">
        <v>15</v>
      </c>
      <c r="BM33" s="15"/>
      <c r="BN33" s="15"/>
      <c r="BO33" s="15"/>
      <c r="BP33" s="24" t="n">
        <v>16</v>
      </c>
      <c r="BQ33" s="24"/>
      <c r="BR33" s="24"/>
      <c r="BS33" s="24" t="n">
        <v>17</v>
      </c>
      <c r="BT33" s="24"/>
      <c r="BU33" s="24"/>
    </row>
    <row r="34" s="41" customFormat="true" ht="32.25" hidden="false" customHeight="true" outlineLevel="0" collapsed="false">
      <c r="A34" s="27" t="n">
        <v>1</v>
      </c>
      <c r="B34" s="28" t="s">
        <v>42</v>
      </c>
      <c r="C34" s="10" t="n">
        <v>3</v>
      </c>
      <c r="D34" s="10" t="n">
        <v>0</v>
      </c>
      <c r="E34" s="10" t="n">
        <v>3</v>
      </c>
      <c r="F34" s="10" t="n">
        <v>0</v>
      </c>
      <c r="G34" s="10" t="n">
        <v>0</v>
      </c>
      <c r="H34" s="29" t="n">
        <v>200</v>
      </c>
      <c r="I34" s="29" t="n">
        <v>243</v>
      </c>
      <c r="J34" s="30" t="n">
        <v>180</v>
      </c>
      <c r="K34" s="30" t="n">
        <v>209</v>
      </c>
      <c r="L34" s="30" t="n">
        <v>110</v>
      </c>
      <c r="M34" s="30" t="n">
        <v>117</v>
      </c>
      <c r="N34" s="31" t="n">
        <f aca="false">SUM(J34:M34)</f>
        <v>616</v>
      </c>
      <c r="O34" s="32" t="n">
        <v>0</v>
      </c>
      <c r="P34" s="33" t="n">
        <f aca="false">P12+Q12</f>
        <v>20</v>
      </c>
      <c r="Q34" s="33" t="n">
        <v>20</v>
      </c>
      <c r="R34" s="33" t="n">
        <f aca="false">R12+S12</f>
        <v>50</v>
      </c>
      <c r="S34" s="33" t="n">
        <v>50</v>
      </c>
      <c r="T34" s="33" t="n">
        <f aca="false">T12+U12</f>
        <v>16</v>
      </c>
      <c r="U34" s="34" t="n">
        <v>6</v>
      </c>
      <c r="V34" s="33" t="n">
        <f aca="false">V12+W12</f>
        <v>40</v>
      </c>
      <c r="W34" s="34" t="n">
        <v>8</v>
      </c>
      <c r="X34" s="33" t="n">
        <f aca="false">X12+Y12</f>
        <v>29</v>
      </c>
      <c r="Y34" s="34" t="n">
        <v>7</v>
      </c>
      <c r="Z34" s="33" t="n">
        <f aca="false">Z12+AA12</f>
        <v>26</v>
      </c>
      <c r="AA34" s="34" t="n">
        <v>5</v>
      </c>
      <c r="AB34" s="33" t="n">
        <f aca="false">AB12+AC12</f>
        <v>5</v>
      </c>
      <c r="AC34" s="33" t="n">
        <v>3</v>
      </c>
      <c r="AD34" s="33" t="n">
        <f aca="false">AD12+AE12</f>
        <v>10</v>
      </c>
      <c r="AE34" s="33" t="n">
        <v>5</v>
      </c>
      <c r="AF34" s="33" t="n">
        <f aca="false">AF12+AG12</f>
        <v>14</v>
      </c>
      <c r="AG34" s="34" t="n">
        <v>4</v>
      </c>
      <c r="AH34" s="33" t="n">
        <f aca="false">AH12+AI12</f>
        <v>16</v>
      </c>
      <c r="AI34" s="34" t="n">
        <v>5</v>
      </c>
      <c r="AJ34" s="33" t="n">
        <f aca="false">AJ12+AK12</f>
        <v>0</v>
      </c>
      <c r="AK34" s="34" t="n">
        <v>0</v>
      </c>
      <c r="AL34" s="33" t="n">
        <f aca="false">AL12+AM12</f>
        <v>2</v>
      </c>
      <c r="AM34" s="34" t="n">
        <v>1</v>
      </c>
      <c r="AN34" s="35" t="n">
        <f aca="false">P34+AB34</f>
        <v>25</v>
      </c>
      <c r="AO34" s="35" t="n">
        <f aca="false">Q34+AC34</f>
        <v>23</v>
      </c>
      <c r="AP34" s="35" t="n">
        <f aca="false">R34+AD34</f>
        <v>60</v>
      </c>
      <c r="AQ34" s="35" t="n">
        <f aca="false">S34+AE34</f>
        <v>55</v>
      </c>
      <c r="AR34" s="35" t="n">
        <f aca="false">T34+AF34</f>
        <v>30</v>
      </c>
      <c r="AS34" s="35" t="n">
        <f aca="false">U34+AG34</f>
        <v>10</v>
      </c>
      <c r="AT34" s="35" t="n">
        <f aca="false">V34+AH34</f>
        <v>56</v>
      </c>
      <c r="AU34" s="35" t="n">
        <f aca="false">W34+AI34</f>
        <v>13</v>
      </c>
      <c r="AV34" s="35" t="n">
        <f aca="false">X34+AJ34</f>
        <v>29</v>
      </c>
      <c r="AW34" s="35" t="n">
        <f aca="false">Y34+AK34</f>
        <v>7</v>
      </c>
      <c r="AX34" s="35" t="n">
        <f aca="false">Z34+AL34</f>
        <v>28</v>
      </c>
      <c r="AY34" s="35" t="n">
        <f aca="false">AA34+AM34</f>
        <v>6</v>
      </c>
      <c r="AZ34" s="36" t="n">
        <f aca="false">AO34</f>
        <v>23</v>
      </c>
      <c r="BA34" s="36" t="n">
        <f aca="false">SUM(AN34:AO34)</f>
        <v>48</v>
      </c>
      <c r="BB34" s="36" t="n">
        <f aca="false">S34+AE34</f>
        <v>55</v>
      </c>
      <c r="BC34" s="36" t="n">
        <f aca="false">SUM(AP34:AQ34)</f>
        <v>115</v>
      </c>
      <c r="BD34" s="36" t="n">
        <f aca="false">U34+AG34</f>
        <v>10</v>
      </c>
      <c r="BE34" s="36" t="n">
        <f aca="false">SUM(AR34:AS34)</f>
        <v>40</v>
      </c>
      <c r="BF34" s="36" t="n">
        <f aca="false">W34+AI34</f>
        <v>13</v>
      </c>
      <c r="BG34" s="36" t="n">
        <f aca="false">SUM(AT34:AU34)</f>
        <v>69</v>
      </c>
      <c r="BH34" s="36" t="n">
        <f aca="false">Y34+AK34</f>
        <v>7</v>
      </c>
      <c r="BI34" s="36" t="n">
        <f aca="false">SUM(AV34:AW34)</f>
        <v>36</v>
      </c>
      <c r="BJ34" s="36" t="n">
        <f aca="false">AA34+AM34</f>
        <v>6</v>
      </c>
      <c r="BK34" s="36" t="n">
        <f aca="false">SUM(AX34:AY34)</f>
        <v>34</v>
      </c>
      <c r="BL34" s="37" t="n">
        <f aca="false">BE34+BI34</f>
        <v>76</v>
      </c>
      <c r="BM34" s="37" t="n">
        <f aca="false">BG34+BK34</f>
        <v>103</v>
      </c>
      <c r="BN34" s="38" t="n">
        <f aca="false">BL34+BM34</f>
        <v>179</v>
      </c>
      <c r="BO34" s="39" t="n">
        <f aca="false">BN34/N34*100</f>
        <v>29.0584415584416</v>
      </c>
      <c r="BP34" s="10" t="n">
        <v>23</v>
      </c>
      <c r="BQ34" s="10" t="n">
        <v>0</v>
      </c>
      <c r="BR34" s="10" t="n">
        <v>0</v>
      </c>
      <c r="BS34" s="10" t="n">
        <v>13</v>
      </c>
      <c r="BT34" s="10" t="n">
        <v>0</v>
      </c>
      <c r="BU34" s="10" t="n">
        <v>0</v>
      </c>
    </row>
    <row r="35" s="41" customFormat="true" ht="32.25" hidden="false" customHeight="true" outlineLevel="0" collapsed="false">
      <c r="A35" s="27" t="n">
        <v>2</v>
      </c>
      <c r="B35" s="28" t="s">
        <v>43</v>
      </c>
      <c r="C35" s="10" t="n">
        <v>3</v>
      </c>
      <c r="D35" s="10" t="n">
        <v>0</v>
      </c>
      <c r="E35" s="10" t="n">
        <v>3</v>
      </c>
      <c r="F35" s="10" t="n">
        <v>0</v>
      </c>
      <c r="G35" s="10" t="n">
        <v>0</v>
      </c>
      <c r="H35" s="29" t="n">
        <v>385</v>
      </c>
      <c r="I35" s="29" t="n">
        <v>393</v>
      </c>
      <c r="J35" s="30" t="n">
        <v>165</v>
      </c>
      <c r="K35" s="30" t="n">
        <v>177</v>
      </c>
      <c r="L35" s="30" t="n">
        <v>95</v>
      </c>
      <c r="M35" s="30" t="n">
        <v>104</v>
      </c>
      <c r="N35" s="31" t="n">
        <f aca="false">SUM(J35:M35)</f>
        <v>541</v>
      </c>
      <c r="O35" s="32" t="n">
        <v>0</v>
      </c>
      <c r="P35" s="33" t="n">
        <f aca="false">P13+Q13</f>
        <v>10</v>
      </c>
      <c r="Q35" s="33" t="n">
        <v>10</v>
      </c>
      <c r="R35" s="33" t="n">
        <f aca="false">R13+S13</f>
        <v>40</v>
      </c>
      <c r="S35" s="33" t="n">
        <v>40</v>
      </c>
      <c r="T35" s="33" t="n">
        <f aca="false">T13+U13</f>
        <v>20</v>
      </c>
      <c r="U35" s="34" t="n">
        <v>25</v>
      </c>
      <c r="V35" s="33" t="n">
        <f aca="false">V13+W13</f>
        <v>20</v>
      </c>
      <c r="W35" s="34" t="n">
        <v>25</v>
      </c>
      <c r="X35" s="33" t="n">
        <f aca="false">X13+Y13</f>
        <v>10</v>
      </c>
      <c r="Y35" s="34" t="n">
        <v>14</v>
      </c>
      <c r="Z35" s="33" t="n">
        <f aca="false">Z13+AA13</f>
        <v>15</v>
      </c>
      <c r="AA35" s="34" t="n">
        <v>9</v>
      </c>
      <c r="AB35" s="33" t="n">
        <f aca="false">AB13+AC13</f>
        <v>3</v>
      </c>
      <c r="AC35" s="33" t="n">
        <v>6</v>
      </c>
      <c r="AD35" s="33" t="n">
        <f aca="false">AD13+AE13</f>
        <v>8</v>
      </c>
      <c r="AE35" s="33" t="n">
        <v>10</v>
      </c>
      <c r="AF35" s="33" t="n">
        <f aca="false">AF13+AG13</f>
        <v>2</v>
      </c>
      <c r="AG35" s="34" t="n">
        <v>5</v>
      </c>
      <c r="AH35" s="33" t="n">
        <f aca="false">AH13+AI13</f>
        <v>3</v>
      </c>
      <c r="AI35" s="34" t="n">
        <v>10</v>
      </c>
      <c r="AJ35" s="33" t="n">
        <f aca="false">AJ13+AK13</f>
        <v>1</v>
      </c>
      <c r="AK35" s="34" t="n">
        <v>3</v>
      </c>
      <c r="AL35" s="33" t="n">
        <f aca="false">AL13+AM13</f>
        <v>3</v>
      </c>
      <c r="AM35" s="34" t="n">
        <v>4</v>
      </c>
      <c r="AN35" s="35" t="n">
        <f aca="false">P35+AB35</f>
        <v>13</v>
      </c>
      <c r="AO35" s="35" t="n">
        <f aca="false">Q35+AC35</f>
        <v>16</v>
      </c>
      <c r="AP35" s="35" t="n">
        <f aca="false">R35+AD35</f>
        <v>48</v>
      </c>
      <c r="AQ35" s="35" t="n">
        <f aca="false">S35+AE35</f>
        <v>50</v>
      </c>
      <c r="AR35" s="35" t="n">
        <f aca="false">T35+AF35</f>
        <v>22</v>
      </c>
      <c r="AS35" s="35" t="n">
        <f aca="false">U35+AG35</f>
        <v>30</v>
      </c>
      <c r="AT35" s="35" t="n">
        <f aca="false">V35+AH35</f>
        <v>23</v>
      </c>
      <c r="AU35" s="35" t="n">
        <f aca="false">W35+AI35</f>
        <v>35</v>
      </c>
      <c r="AV35" s="35" t="n">
        <f aca="false">X35+AJ35</f>
        <v>11</v>
      </c>
      <c r="AW35" s="35" t="n">
        <f aca="false">Y35+AK35</f>
        <v>17</v>
      </c>
      <c r="AX35" s="35" t="n">
        <f aca="false">Z35+AL35</f>
        <v>18</v>
      </c>
      <c r="AY35" s="35" t="n">
        <f aca="false">AA35+AM35</f>
        <v>13</v>
      </c>
      <c r="AZ35" s="36" t="n">
        <f aca="false">AO35</f>
        <v>16</v>
      </c>
      <c r="BA35" s="36" t="n">
        <f aca="false">SUM(AN35:AO35)</f>
        <v>29</v>
      </c>
      <c r="BB35" s="36" t="n">
        <f aca="false">S35+AE35</f>
        <v>50</v>
      </c>
      <c r="BC35" s="36" t="n">
        <f aca="false">SUM(AP35:AQ35)</f>
        <v>98</v>
      </c>
      <c r="BD35" s="36" t="n">
        <f aca="false">U35+AG35</f>
        <v>30</v>
      </c>
      <c r="BE35" s="36" t="n">
        <f aca="false">SUM(AR35:AS35)</f>
        <v>52</v>
      </c>
      <c r="BF35" s="36" t="n">
        <f aca="false">W35+AI35</f>
        <v>35</v>
      </c>
      <c r="BG35" s="36" t="n">
        <f aca="false">SUM(AT35:AU35)</f>
        <v>58</v>
      </c>
      <c r="BH35" s="36" t="n">
        <f aca="false">Y35+AK35</f>
        <v>17</v>
      </c>
      <c r="BI35" s="36" t="n">
        <f aca="false">SUM(AV35:AW35)</f>
        <v>28</v>
      </c>
      <c r="BJ35" s="36" t="n">
        <f aca="false">AA35+AM35</f>
        <v>13</v>
      </c>
      <c r="BK35" s="36" t="n">
        <f aca="false">SUM(AX35:AY35)</f>
        <v>31</v>
      </c>
      <c r="BL35" s="37" t="n">
        <f aca="false">BE35+BI35</f>
        <v>80</v>
      </c>
      <c r="BM35" s="37" t="n">
        <f aca="false">BG35+BK35</f>
        <v>89</v>
      </c>
      <c r="BN35" s="38" t="n">
        <f aca="false">BL35+BM35</f>
        <v>169</v>
      </c>
      <c r="BO35" s="39" t="n">
        <f aca="false">BN35/N35*100</f>
        <v>31.2384473197782</v>
      </c>
      <c r="BP35" s="10" t="n">
        <v>65</v>
      </c>
      <c r="BQ35" s="10" t="n">
        <v>0</v>
      </c>
      <c r="BR35" s="10" t="n">
        <v>0</v>
      </c>
      <c r="BS35" s="10" t="n">
        <v>20</v>
      </c>
      <c r="BT35" s="10" t="n">
        <v>0</v>
      </c>
      <c r="BU35" s="10" t="n">
        <v>0</v>
      </c>
    </row>
    <row r="36" s="41" customFormat="true" ht="32.25" hidden="false" customHeight="true" outlineLevel="0" collapsed="false">
      <c r="A36" s="27" t="n">
        <v>3</v>
      </c>
      <c r="B36" s="28" t="s">
        <v>44</v>
      </c>
      <c r="C36" s="10" t="n">
        <v>2</v>
      </c>
      <c r="D36" s="10" t="n">
        <v>0</v>
      </c>
      <c r="E36" s="10" t="n">
        <v>2</v>
      </c>
      <c r="F36" s="10" t="n">
        <v>0</v>
      </c>
      <c r="G36" s="10" t="n">
        <v>0</v>
      </c>
      <c r="H36" s="29" t="n">
        <v>178</v>
      </c>
      <c r="I36" s="29" t="n">
        <v>178</v>
      </c>
      <c r="J36" s="30" t="n">
        <v>70</v>
      </c>
      <c r="K36" s="30" t="n">
        <v>87</v>
      </c>
      <c r="L36" s="30" t="n">
        <v>45</v>
      </c>
      <c r="M36" s="30" t="n">
        <v>46</v>
      </c>
      <c r="N36" s="31" t="n">
        <f aca="false">SUM(J36:M36)</f>
        <v>248</v>
      </c>
      <c r="O36" s="32" t="n">
        <v>0</v>
      </c>
      <c r="P36" s="33" t="n">
        <f aca="false">P14+Q14</f>
        <v>4</v>
      </c>
      <c r="Q36" s="33" t="n">
        <v>4</v>
      </c>
      <c r="R36" s="33" t="n">
        <f aca="false">R14+S14</f>
        <v>15</v>
      </c>
      <c r="S36" s="33" t="n">
        <v>15</v>
      </c>
      <c r="T36" s="33" t="n">
        <f aca="false">T14+U14</f>
        <v>10</v>
      </c>
      <c r="U36" s="34" t="n">
        <v>10</v>
      </c>
      <c r="V36" s="33" t="n">
        <f aca="false">V14+W14</f>
        <v>10</v>
      </c>
      <c r="W36" s="34" t="n">
        <v>7</v>
      </c>
      <c r="X36" s="33" t="n">
        <f aca="false">X14+Y14</f>
        <v>2</v>
      </c>
      <c r="Y36" s="34" t="n">
        <v>4</v>
      </c>
      <c r="Z36" s="33" t="n">
        <f aca="false">Z14+AA14</f>
        <v>3</v>
      </c>
      <c r="AA36" s="34" t="n">
        <v>6</v>
      </c>
      <c r="AB36" s="33" t="n">
        <f aca="false">AB14+AC14</f>
        <v>2</v>
      </c>
      <c r="AC36" s="33" t="n">
        <v>1</v>
      </c>
      <c r="AD36" s="33" t="n">
        <f aca="false">AD14+AE14</f>
        <v>5</v>
      </c>
      <c r="AE36" s="33" t="n">
        <v>1</v>
      </c>
      <c r="AF36" s="33" t="n">
        <f aca="false">AF14+AG14</f>
        <v>1</v>
      </c>
      <c r="AG36" s="34" t="n">
        <v>0</v>
      </c>
      <c r="AH36" s="33" t="n">
        <f aca="false">AH14+AI14</f>
        <v>3</v>
      </c>
      <c r="AI36" s="34" t="n">
        <v>1</v>
      </c>
      <c r="AJ36" s="33" t="n">
        <f aca="false">AJ14+AK14</f>
        <v>0</v>
      </c>
      <c r="AK36" s="34" t="n">
        <v>0</v>
      </c>
      <c r="AL36" s="33" t="n">
        <f aca="false">AL14+AM14</f>
        <v>2</v>
      </c>
      <c r="AM36" s="34" t="n">
        <v>1</v>
      </c>
      <c r="AN36" s="35" t="n">
        <f aca="false">P36+AB36</f>
        <v>6</v>
      </c>
      <c r="AO36" s="35" t="n">
        <f aca="false">Q36+AC36</f>
        <v>5</v>
      </c>
      <c r="AP36" s="35" t="n">
        <f aca="false">R36+AD36</f>
        <v>20</v>
      </c>
      <c r="AQ36" s="35" t="n">
        <f aca="false">S36+AE36</f>
        <v>16</v>
      </c>
      <c r="AR36" s="35" t="n">
        <f aca="false">T36+AF36</f>
        <v>11</v>
      </c>
      <c r="AS36" s="35" t="n">
        <f aca="false">U36+AG36</f>
        <v>10</v>
      </c>
      <c r="AT36" s="35" t="n">
        <f aca="false">V36+AH36</f>
        <v>13</v>
      </c>
      <c r="AU36" s="35" t="n">
        <f aca="false">W36+AI36</f>
        <v>8</v>
      </c>
      <c r="AV36" s="35" t="n">
        <f aca="false">X36+AJ36</f>
        <v>2</v>
      </c>
      <c r="AW36" s="35" t="n">
        <f aca="false">Y36+AK36</f>
        <v>4</v>
      </c>
      <c r="AX36" s="35" t="n">
        <f aca="false">Z36+AL36</f>
        <v>5</v>
      </c>
      <c r="AY36" s="35" t="n">
        <f aca="false">AA36+AM36</f>
        <v>7</v>
      </c>
      <c r="AZ36" s="36" t="n">
        <f aca="false">AO36</f>
        <v>5</v>
      </c>
      <c r="BA36" s="36" t="n">
        <f aca="false">SUM(AN36:AO36)</f>
        <v>11</v>
      </c>
      <c r="BB36" s="36" t="n">
        <f aca="false">S36+AE36</f>
        <v>16</v>
      </c>
      <c r="BC36" s="36" t="n">
        <f aca="false">SUM(AP36:AQ36)</f>
        <v>36</v>
      </c>
      <c r="BD36" s="36" t="n">
        <f aca="false">U36+AG36</f>
        <v>10</v>
      </c>
      <c r="BE36" s="36" t="n">
        <f aca="false">SUM(AR36:AS36)</f>
        <v>21</v>
      </c>
      <c r="BF36" s="36" t="n">
        <f aca="false">W36+AI36</f>
        <v>8</v>
      </c>
      <c r="BG36" s="36" t="n">
        <f aca="false">SUM(AT36:AU36)</f>
        <v>21</v>
      </c>
      <c r="BH36" s="36" t="n">
        <f aca="false">Y36+AK36</f>
        <v>4</v>
      </c>
      <c r="BI36" s="36" t="n">
        <f aca="false">SUM(AV36:AW36)</f>
        <v>6</v>
      </c>
      <c r="BJ36" s="36" t="n">
        <f aca="false">AA36+AM36</f>
        <v>7</v>
      </c>
      <c r="BK36" s="36" t="n">
        <f aca="false">SUM(AX36:AY36)</f>
        <v>12</v>
      </c>
      <c r="BL36" s="37" t="n">
        <f aca="false">BE36+BI36</f>
        <v>27</v>
      </c>
      <c r="BM36" s="37" t="n">
        <f aca="false">BG36+BK36</f>
        <v>33</v>
      </c>
      <c r="BN36" s="38" t="n">
        <f aca="false">BL36+BM36</f>
        <v>60</v>
      </c>
      <c r="BO36" s="39" t="n">
        <f aca="false">BN36/N36*100</f>
        <v>24.1935483870968</v>
      </c>
      <c r="BP36" s="10" t="n">
        <v>18</v>
      </c>
      <c r="BQ36" s="10" t="n">
        <v>0</v>
      </c>
      <c r="BR36" s="10" t="n">
        <v>0</v>
      </c>
      <c r="BS36" s="10" t="n">
        <v>11</v>
      </c>
      <c r="BT36" s="10" t="n">
        <v>0</v>
      </c>
      <c r="BU36" s="10" t="n">
        <v>0</v>
      </c>
    </row>
    <row r="37" s="41" customFormat="true" ht="32.25" hidden="false" customHeight="true" outlineLevel="0" collapsed="false">
      <c r="A37" s="27" t="n">
        <v>4</v>
      </c>
      <c r="B37" s="28" t="s">
        <v>45</v>
      </c>
      <c r="C37" s="10" t="n">
        <v>2</v>
      </c>
      <c r="D37" s="10" t="n">
        <v>0</v>
      </c>
      <c r="E37" s="10" t="n">
        <v>2</v>
      </c>
      <c r="F37" s="10" t="n">
        <v>0</v>
      </c>
      <c r="G37" s="10" t="n">
        <v>0</v>
      </c>
      <c r="H37" s="29" t="n">
        <v>245</v>
      </c>
      <c r="I37" s="29" t="n">
        <v>248</v>
      </c>
      <c r="J37" s="30" t="n">
        <v>100</v>
      </c>
      <c r="K37" s="30" t="n">
        <v>117</v>
      </c>
      <c r="L37" s="30" t="n">
        <v>60</v>
      </c>
      <c r="M37" s="30" t="n">
        <v>66</v>
      </c>
      <c r="N37" s="31" t="n">
        <f aca="false">SUM(J37:M37)</f>
        <v>343</v>
      </c>
      <c r="O37" s="32" t="n">
        <v>0</v>
      </c>
      <c r="P37" s="33" t="n">
        <f aca="false">P15+Q15</f>
        <v>5</v>
      </c>
      <c r="Q37" s="42" t="n">
        <v>5</v>
      </c>
      <c r="R37" s="33" t="n">
        <f aca="false">R15+S15</f>
        <v>20</v>
      </c>
      <c r="S37" s="33" t="n">
        <v>20</v>
      </c>
      <c r="T37" s="33" t="n">
        <f aca="false">T15+U15</f>
        <v>5</v>
      </c>
      <c r="U37" s="34" t="n">
        <v>1</v>
      </c>
      <c r="V37" s="33" t="n">
        <f aca="false">V15+W15</f>
        <v>8</v>
      </c>
      <c r="W37" s="34" t="n">
        <v>14</v>
      </c>
      <c r="X37" s="33" t="n">
        <f aca="false">X15+Y15</f>
        <v>4</v>
      </c>
      <c r="Y37" s="34" t="n">
        <v>1</v>
      </c>
      <c r="Z37" s="33" t="n">
        <f aca="false">Z15+AA15</f>
        <v>7</v>
      </c>
      <c r="AA37" s="34" t="n">
        <v>3</v>
      </c>
      <c r="AB37" s="33" t="n">
        <f aca="false">AB15+AC15</f>
        <v>7</v>
      </c>
      <c r="AC37" s="43" t="n">
        <v>4</v>
      </c>
      <c r="AD37" s="33" t="n">
        <f aca="false">AD15+AE15</f>
        <v>10</v>
      </c>
      <c r="AE37" s="33" t="n">
        <v>4</v>
      </c>
      <c r="AF37" s="33" t="n">
        <f aca="false">AF15+AG15</f>
        <v>5</v>
      </c>
      <c r="AG37" s="34" t="n">
        <v>7</v>
      </c>
      <c r="AH37" s="33" t="n">
        <f aca="false">AH15+AI15</f>
        <v>10</v>
      </c>
      <c r="AI37" s="34" t="n">
        <v>8</v>
      </c>
      <c r="AJ37" s="33" t="n">
        <f aca="false">AJ15+AK15</f>
        <v>6</v>
      </c>
      <c r="AK37" s="34" t="n">
        <v>5</v>
      </c>
      <c r="AL37" s="33" t="n">
        <f aca="false">AL15+AM15</f>
        <v>6</v>
      </c>
      <c r="AM37" s="34" t="n">
        <v>7</v>
      </c>
      <c r="AN37" s="35" t="n">
        <f aca="false">P37+AB37</f>
        <v>12</v>
      </c>
      <c r="AO37" s="35" t="n">
        <f aca="false">Q37+AC37</f>
        <v>9</v>
      </c>
      <c r="AP37" s="35" t="n">
        <f aca="false">R37+AD37</f>
        <v>30</v>
      </c>
      <c r="AQ37" s="35" t="n">
        <f aca="false">S37+AE37</f>
        <v>24</v>
      </c>
      <c r="AR37" s="35" t="n">
        <f aca="false">T37+AF37</f>
        <v>10</v>
      </c>
      <c r="AS37" s="35" t="n">
        <f aca="false">U37+AG37</f>
        <v>8</v>
      </c>
      <c r="AT37" s="35" t="n">
        <f aca="false">V37+AH37</f>
        <v>18</v>
      </c>
      <c r="AU37" s="35" t="n">
        <f aca="false">W37+AI37</f>
        <v>22</v>
      </c>
      <c r="AV37" s="35" t="n">
        <f aca="false">X37+AJ37</f>
        <v>10</v>
      </c>
      <c r="AW37" s="35" t="n">
        <f aca="false">Y37+AK37</f>
        <v>6</v>
      </c>
      <c r="AX37" s="35" t="n">
        <f aca="false">Z37+AL37</f>
        <v>13</v>
      </c>
      <c r="AY37" s="35" t="n">
        <f aca="false">AA37+AM37</f>
        <v>10</v>
      </c>
      <c r="AZ37" s="36" t="n">
        <f aca="false">AO37</f>
        <v>9</v>
      </c>
      <c r="BA37" s="36" t="n">
        <f aca="false">SUM(AN37:AO37)</f>
        <v>21</v>
      </c>
      <c r="BB37" s="36" t="n">
        <f aca="false">S37+AE37</f>
        <v>24</v>
      </c>
      <c r="BC37" s="36" t="n">
        <f aca="false">SUM(AP37:AQ37)</f>
        <v>54</v>
      </c>
      <c r="BD37" s="36" t="n">
        <f aca="false">U37+AG37</f>
        <v>8</v>
      </c>
      <c r="BE37" s="36" t="n">
        <f aca="false">SUM(AR37:AS37)</f>
        <v>18</v>
      </c>
      <c r="BF37" s="36" t="n">
        <f aca="false">W37+AI37</f>
        <v>22</v>
      </c>
      <c r="BG37" s="36" t="n">
        <f aca="false">SUM(AT37:AU37)</f>
        <v>40</v>
      </c>
      <c r="BH37" s="36" t="n">
        <f aca="false">Y37+AK37</f>
        <v>6</v>
      </c>
      <c r="BI37" s="36" t="n">
        <f aca="false">SUM(AV37:AW37)</f>
        <v>16</v>
      </c>
      <c r="BJ37" s="36" t="n">
        <f aca="false">AA37+AM37</f>
        <v>10</v>
      </c>
      <c r="BK37" s="36" t="n">
        <f aca="false">SUM(AX37:AY37)</f>
        <v>23</v>
      </c>
      <c r="BL37" s="37" t="n">
        <f aca="false">BE37+BI37</f>
        <v>34</v>
      </c>
      <c r="BM37" s="37" t="n">
        <f aca="false">BG37+BK37</f>
        <v>63</v>
      </c>
      <c r="BN37" s="38" t="n">
        <f aca="false">BL37+BM37</f>
        <v>97</v>
      </c>
      <c r="BO37" s="39" t="n">
        <f aca="false">BN37/N37*100</f>
        <v>28.2798833819242</v>
      </c>
      <c r="BP37" s="10" t="n">
        <v>30</v>
      </c>
      <c r="BQ37" s="10" t="n">
        <v>0</v>
      </c>
      <c r="BR37" s="10" t="n">
        <v>0</v>
      </c>
      <c r="BS37" s="10" t="n">
        <v>16</v>
      </c>
      <c r="BT37" s="10" t="n">
        <v>0</v>
      </c>
      <c r="BU37" s="10" t="n">
        <v>0</v>
      </c>
    </row>
    <row r="38" s="41" customFormat="true" ht="32.25" hidden="false" customHeight="true" outlineLevel="0" collapsed="false">
      <c r="A38" s="27" t="n">
        <v>5</v>
      </c>
      <c r="B38" s="28" t="s">
        <v>46</v>
      </c>
      <c r="C38" s="10" t="n">
        <v>2</v>
      </c>
      <c r="D38" s="10" t="n">
        <v>0</v>
      </c>
      <c r="E38" s="10" t="n">
        <v>2</v>
      </c>
      <c r="F38" s="10" t="n">
        <v>0</v>
      </c>
      <c r="G38" s="10" t="n">
        <v>0</v>
      </c>
      <c r="H38" s="29" t="n">
        <v>238</v>
      </c>
      <c r="I38" s="29" t="n">
        <v>239</v>
      </c>
      <c r="J38" s="30" t="n">
        <v>95</v>
      </c>
      <c r="K38" s="30" t="n">
        <v>114</v>
      </c>
      <c r="L38" s="30" t="n">
        <v>55</v>
      </c>
      <c r="M38" s="30" t="n">
        <v>67</v>
      </c>
      <c r="N38" s="31" t="n">
        <f aca="false">SUM(J38:M38)</f>
        <v>331</v>
      </c>
      <c r="O38" s="32" t="n">
        <v>0</v>
      </c>
      <c r="P38" s="33" t="n">
        <f aca="false">P16+Q16</f>
        <v>5</v>
      </c>
      <c r="Q38" s="43" t="n">
        <v>5</v>
      </c>
      <c r="R38" s="33" t="n">
        <f aca="false">R16+S16</f>
        <v>18</v>
      </c>
      <c r="S38" s="33" t="n">
        <v>18</v>
      </c>
      <c r="T38" s="33" t="n">
        <f aca="false">T16+U16</f>
        <v>10</v>
      </c>
      <c r="U38" s="34" t="n">
        <v>15</v>
      </c>
      <c r="V38" s="33" t="n">
        <f aca="false">V16+W16</f>
        <v>14</v>
      </c>
      <c r="W38" s="34" t="n">
        <v>18</v>
      </c>
      <c r="X38" s="33" t="n">
        <f aca="false">X16+Y16</f>
        <v>1</v>
      </c>
      <c r="Y38" s="34" t="n">
        <v>2</v>
      </c>
      <c r="Z38" s="33" t="n">
        <f aca="false">Z16+AA16</f>
        <v>3</v>
      </c>
      <c r="AA38" s="34" t="n">
        <v>4</v>
      </c>
      <c r="AB38" s="33" t="n">
        <f aca="false">AB16+AC16</f>
        <v>2</v>
      </c>
      <c r="AC38" s="43" t="n">
        <v>1</v>
      </c>
      <c r="AD38" s="33" t="n">
        <f aca="false">AD16+AE16</f>
        <v>21</v>
      </c>
      <c r="AE38" s="33" t="n">
        <v>5</v>
      </c>
      <c r="AF38" s="33" t="n">
        <f aca="false">AF16+AG16</f>
        <v>1</v>
      </c>
      <c r="AG38" s="34" t="n">
        <v>1</v>
      </c>
      <c r="AH38" s="33" t="n">
        <f aca="false">AH16+AI16</f>
        <v>19</v>
      </c>
      <c r="AI38" s="34" t="n">
        <v>3</v>
      </c>
      <c r="AJ38" s="33" t="n">
        <f aca="false">AJ16+AK16</f>
        <v>1</v>
      </c>
      <c r="AK38" s="34" t="n">
        <v>0</v>
      </c>
      <c r="AL38" s="33" t="n">
        <f aca="false">AL16+AM16</f>
        <v>3</v>
      </c>
      <c r="AM38" s="34" t="n">
        <v>1</v>
      </c>
      <c r="AN38" s="35" t="n">
        <f aca="false">P38+AB38</f>
        <v>7</v>
      </c>
      <c r="AO38" s="35" t="n">
        <f aca="false">Q38+AC38</f>
        <v>6</v>
      </c>
      <c r="AP38" s="35" t="n">
        <f aca="false">R38+AD38</f>
        <v>39</v>
      </c>
      <c r="AQ38" s="35" t="n">
        <f aca="false">S38+AE38</f>
        <v>23</v>
      </c>
      <c r="AR38" s="35" t="n">
        <f aca="false">T38+AF38</f>
        <v>11</v>
      </c>
      <c r="AS38" s="35" t="n">
        <f aca="false">U38+AG38</f>
        <v>16</v>
      </c>
      <c r="AT38" s="35" t="n">
        <f aca="false">V38+AH38</f>
        <v>33</v>
      </c>
      <c r="AU38" s="35" t="n">
        <f aca="false">W38+AI38</f>
        <v>21</v>
      </c>
      <c r="AV38" s="35" t="n">
        <f aca="false">X38+AJ38</f>
        <v>2</v>
      </c>
      <c r="AW38" s="35" t="n">
        <f aca="false">Y38+AK38</f>
        <v>2</v>
      </c>
      <c r="AX38" s="35" t="n">
        <f aca="false">Z38+AL38</f>
        <v>6</v>
      </c>
      <c r="AY38" s="35" t="n">
        <f aca="false">AA38+AM38</f>
        <v>5</v>
      </c>
      <c r="AZ38" s="36" t="n">
        <f aca="false">AO38</f>
        <v>6</v>
      </c>
      <c r="BA38" s="36" t="n">
        <f aca="false">SUM(AN38:AO38)</f>
        <v>13</v>
      </c>
      <c r="BB38" s="36" t="n">
        <f aca="false">S38+AE38</f>
        <v>23</v>
      </c>
      <c r="BC38" s="36" t="n">
        <f aca="false">SUM(AP38:AQ38)</f>
        <v>62</v>
      </c>
      <c r="BD38" s="36" t="n">
        <f aca="false">U38+AG38</f>
        <v>16</v>
      </c>
      <c r="BE38" s="36" t="n">
        <f aca="false">SUM(AR38:AS38)</f>
        <v>27</v>
      </c>
      <c r="BF38" s="36" t="n">
        <f aca="false">W38+AI38</f>
        <v>21</v>
      </c>
      <c r="BG38" s="36" t="n">
        <f aca="false">SUM(AT38:AU38)</f>
        <v>54</v>
      </c>
      <c r="BH38" s="36" t="n">
        <f aca="false">Y38+AK38</f>
        <v>2</v>
      </c>
      <c r="BI38" s="36" t="n">
        <f aca="false">SUM(AV38:AW38)</f>
        <v>4</v>
      </c>
      <c r="BJ38" s="36" t="n">
        <f aca="false">AA38+AM38</f>
        <v>5</v>
      </c>
      <c r="BK38" s="36" t="n">
        <f aca="false">SUM(AX38:AY38)</f>
        <v>11</v>
      </c>
      <c r="BL38" s="37" t="n">
        <f aca="false">BE38+BI38</f>
        <v>31</v>
      </c>
      <c r="BM38" s="37" t="n">
        <f aca="false">BG38+BK38</f>
        <v>65</v>
      </c>
      <c r="BN38" s="38" t="n">
        <f aca="false">BL38+BM38</f>
        <v>96</v>
      </c>
      <c r="BO38" s="39" t="n">
        <f aca="false">BN38/N38*100</f>
        <v>29.0030211480363</v>
      </c>
      <c r="BP38" s="10" t="n">
        <v>27</v>
      </c>
      <c r="BQ38" s="10" t="n">
        <v>0</v>
      </c>
      <c r="BR38" s="10" t="n">
        <v>0</v>
      </c>
      <c r="BS38" s="10" t="n">
        <v>7</v>
      </c>
      <c r="BT38" s="10" t="n">
        <v>0</v>
      </c>
      <c r="BU38" s="10" t="n">
        <v>0</v>
      </c>
    </row>
    <row r="39" s="41" customFormat="true" ht="32.25" hidden="false" customHeight="true" outlineLevel="0" collapsed="false">
      <c r="A39" s="27" t="n">
        <v>5</v>
      </c>
      <c r="B39" s="28" t="s">
        <v>47</v>
      </c>
      <c r="C39" s="10" t="n">
        <v>3</v>
      </c>
      <c r="D39" s="10" t="n">
        <v>0</v>
      </c>
      <c r="E39" s="10" t="n">
        <v>3</v>
      </c>
      <c r="F39" s="10" t="n">
        <v>0</v>
      </c>
      <c r="G39" s="10" t="n">
        <v>0</v>
      </c>
      <c r="H39" s="29" t="n">
        <v>302</v>
      </c>
      <c r="I39" s="29" t="n">
        <v>303</v>
      </c>
      <c r="J39" s="30" t="n">
        <v>155</v>
      </c>
      <c r="K39" s="30" t="n">
        <v>110</v>
      </c>
      <c r="L39" s="30" t="n">
        <v>75</v>
      </c>
      <c r="M39" s="30" t="n">
        <v>80</v>
      </c>
      <c r="N39" s="31" t="n">
        <f aca="false">SUM(J39:M39)</f>
        <v>420</v>
      </c>
      <c r="O39" s="32" t="n">
        <v>0</v>
      </c>
      <c r="P39" s="33" t="n">
        <f aca="false">P17+Q17</f>
        <v>10</v>
      </c>
      <c r="Q39" s="33" t="n">
        <v>10</v>
      </c>
      <c r="R39" s="33" t="n">
        <f aca="false">R17+S17</f>
        <v>22</v>
      </c>
      <c r="S39" s="33" t="n">
        <v>22</v>
      </c>
      <c r="T39" s="33" t="n">
        <f aca="false">T17+U17</f>
        <v>10</v>
      </c>
      <c r="U39" s="34" t="n">
        <v>3</v>
      </c>
      <c r="V39" s="33" t="n">
        <f aca="false">V17+W17</f>
        <v>10</v>
      </c>
      <c r="W39" s="34" t="n">
        <v>4</v>
      </c>
      <c r="X39" s="33" t="n">
        <f aca="false">X17+Y17</f>
        <v>4</v>
      </c>
      <c r="Y39" s="34" t="n">
        <v>2</v>
      </c>
      <c r="Z39" s="33" t="n">
        <f aca="false">Z17+AA17</f>
        <v>8</v>
      </c>
      <c r="AA39" s="34" t="n">
        <v>5</v>
      </c>
      <c r="AB39" s="33" t="n">
        <f aca="false">AB17+AC17</f>
        <v>8</v>
      </c>
      <c r="AC39" s="33" t="n">
        <v>4</v>
      </c>
      <c r="AD39" s="33" t="n">
        <f aca="false">AD17+AE17</f>
        <v>14</v>
      </c>
      <c r="AE39" s="33" t="n">
        <v>2</v>
      </c>
      <c r="AF39" s="33" t="n">
        <f aca="false">AF17+AG17</f>
        <v>2</v>
      </c>
      <c r="AG39" s="34" t="n">
        <v>1</v>
      </c>
      <c r="AH39" s="33" t="n">
        <f aca="false">AH17+AI17</f>
        <v>5</v>
      </c>
      <c r="AI39" s="34" t="n">
        <v>2</v>
      </c>
      <c r="AJ39" s="33" t="n">
        <f aca="false">AJ17+AK17</f>
        <v>2</v>
      </c>
      <c r="AK39" s="34" t="n">
        <v>1</v>
      </c>
      <c r="AL39" s="33" t="n">
        <f aca="false">AL17+AM17</f>
        <v>3</v>
      </c>
      <c r="AM39" s="34" t="n">
        <v>1</v>
      </c>
      <c r="AN39" s="35" t="n">
        <f aca="false">P39+AB39</f>
        <v>18</v>
      </c>
      <c r="AO39" s="35" t="n">
        <f aca="false">Q39+AC39</f>
        <v>14</v>
      </c>
      <c r="AP39" s="35" t="n">
        <f aca="false">R39+AD39</f>
        <v>36</v>
      </c>
      <c r="AQ39" s="35" t="n">
        <f aca="false">S39+AE39</f>
        <v>24</v>
      </c>
      <c r="AR39" s="35" t="n">
        <f aca="false">T39+AF39</f>
        <v>12</v>
      </c>
      <c r="AS39" s="35" t="n">
        <f aca="false">U39+AG39</f>
        <v>4</v>
      </c>
      <c r="AT39" s="35" t="n">
        <f aca="false">V39+AH39</f>
        <v>15</v>
      </c>
      <c r="AU39" s="35" t="n">
        <f aca="false">W39+AI39</f>
        <v>6</v>
      </c>
      <c r="AV39" s="35" t="n">
        <f aca="false">X39+AJ39</f>
        <v>6</v>
      </c>
      <c r="AW39" s="35" t="n">
        <f aca="false">Y39+AK39</f>
        <v>3</v>
      </c>
      <c r="AX39" s="35" t="n">
        <f aca="false">Z39+AL39</f>
        <v>11</v>
      </c>
      <c r="AY39" s="35" t="n">
        <f aca="false">AA39+AM39</f>
        <v>6</v>
      </c>
      <c r="AZ39" s="36" t="n">
        <f aca="false">AO39</f>
        <v>14</v>
      </c>
      <c r="BA39" s="36" t="n">
        <f aca="false">SUM(AN39:AO39)</f>
        <v>32</v>
      </c>
      <c r="BB39" s="36" t="n">
        <f aca="false">S39+AE39</f>
        <v>24</v>
      </c>
      <c r="BC39" s="36" t="n">
        <f aca="false">SUM(AP39:AQ39)</f>
        <v>60</v>
      </c>
      <c r="BD39" s="36" t="n">
        <f aca="false">U39+AG39</f>
        <v>4</v>
      </c>
      <c r="BE39" s="36" t="n">
        <f aca="false">SUM(AR39:AS39)</f>
        <v>16</v>
      </c>
      <c r="BF39" s="36" t="n">
        <f aca="false">W39+AI39</f>
        <v>6</v>
      </c>
      <c r="BG39" s="36" t="n">
        <f aca="false">SUM(AT39:AU39)</f>
        <v>21</v>
      </c>
      <c r="BH39" s="36" t="n">
        <f aca="false">Y39+AK39</f>
        <v>3</v>
      </c>
      <c r="BI39" s="36" t="n">
        <f aca="false">SUM(AV39:AW39)</f>
        <v>9</v>
      </c>
      <c r="BJ39" s="36" t="n">
        <f aca="false">AA39+AM39</f>
        <v>6</v>
      </c>
      <c r="BK39" s="36" t="n">
        <f aca="false">SUM(AX39:AY39)</f>
        <v>17</v>
      </c>
      <c r="BL39" s="37" t="n">
        <f aca="false">BE39+BI39</f>
        <v>25</v>
      </c>
      <c r="BM39" s="37" t="n">
        <f aca="false">BG39+BK39</f>
        <v>38</v>
      </c>
      <c r="BN39" s="38" t="n">
        <f aca="false">BL39+BM39</f>
        <v>63</v>
      </c>
      <c r="BO39" s="39" t="n">
        <f aca="false">BN39/N39*100</f>
        <v>15</v>
      </c>
      <c r="BP39" s="10" t="n">
        <v>10</v>
      </c>
      <c r="BQ39" s="10" t="n">
        <v>1</v>
      </c>
      <c r="BR39" s="10" t="n">
        <v>0</v>
      </c>
      <c r="BS39" s="10" t="n">
        <v>9</v>
      </c>
      <c r="BT39" s="10" t="n">
        <v>0</v>
      </c>
      <c r="BU39" s="10" t="n">
        <v>0</v>
      </c>
    </row>
    <row r="40" s="46" customFormat="true" ht="36.75" hidden="false" customHeight="true" outlineLevel="0" collapsed="false">
      <c r="A40" s="15" t="s">
        <v>48</v>
      </c>
      <c r="B40" s="15"/>
      <c r="C40" s="21" t="n">
        <f aca="false">SUM(C34:C39)</f>
        <v>15</v>
      </c>
      <c r="D40" s="21" t="n">
        <f aca="false">SUM(D34:D39)</f>
        <v>0</v>
      </c>
      <c r="E40" s="21" t="n">
        <f aca="false">SUM(E34:E39)</f>
        <v>15</v>
      </c>
      <c r="F40" s="21" t="n">
        <f aca="false">SUM(F34:F39)</f>
        <v>0</v>
      </c>
      <c r="G40" s="21" t="n">
        <f aca="false">SUM(G34:G39)</f>
        <v>0</v>
      </c>
      <c r="H40" s="31" t="n">
        <f aca="false">SUM(H34:H39)</f>
        <v>1548</v>
      </c>
      <c r="I40" s="31" t="n">
        <f aca="false">SUM(I34:I39)</f>
        <v>1604</v>
      </c>
      <c r="J40" s="31" t="n">
        <f aca="false">SUM(J34:J39)</f>
        <v>765</v>
      </c>
      <c r="K40" s="31" t="n">
        <f aca="false">SUM(K34:K39)</f>
        <v>814</v>
      </c>
      <c r="L40" s="31" t="n">
        <f aca="false">SUM(L34:L39)</f>
        <v>440</v>
      </c>
      <c r="M40" s="31" t="n">
        <f aca="false">SUM(M34:M39)</f>
        <v>480</v>
      </c>
      <c r="N40" s="31" t="n">
        <f aca="false">SUM(J40:M40)</f>
        <v>2499</v>
      </c>
      <c r="O40" s="31" t="n">
        <v>1506</v>
      </c>
      <c r="P40" s="21" t="n">
        <f aca="false">SUM(P34:P39)</f>
        <v>54</v>
      </c>
      <c r="Q40" s="21" t="n">
        <f aca="false">SUM(Q34:Q39)</f>
        <v>54</v>
      </c>
      <c r="R40" s="21" t="n">
        <f aca="false">SUM(R34:R39)</f>
        <v>165</v>
      </c>
      <c r="S40" s="21" t="n">
        <f aca="false">SUM(S34:S39)</f>
        <v>165</v>
      </c>
      <c r="T40" s="21" t="n">
        <f aca="false">SUM(T34:T39)</f>
        <v>71</v>
      </c>
      <c r="U40" s="44" t="n">
        <f aca="false">SUM(U34:U39)</f>
        <v>60</v>
      </c>
      <c r="V40" s="44" t="n">
        <f aca="false">SUM(V34:V39)</f>
        <v>102</v>
      </c>
      <c r="W40" s="44" t="n">
        <f aca="false">SUM(W34:W39)</f>
        <v>76</v>
      </c>
      <c r="X40" s="44" t="n">
        <f aca="false">SUM(X34:X39)</f>
        <v>50</v>
      </c>
      <c r="Y40" s="44" t="n">
        <f aca="false">SUM(Y34:Y39)</f>
        <v>30</v>
      </c>
      <c r="Z40" s="44" t="n">
        <f aca="false">SUM(Z34:Z39)</f>
        <v>62</v>
      </c>
      <c r="AA40" s="44" t="n">
        <f aca="false">SUM(AA34:AA39)</f>
        <v>32</v>
      </c>
      <c r="AB40" s="21" t="n">
        <f aca="false">SUM(AB34:AB39)</f>
        <v>27</v>
      </c>
      <c r="AC40" s="21" t="n">
        <f aca="false">SUM(AC34:AC39)</f>
        <v>19</v>
      </c>
      <c r="AD40" s="21" t="n">
        <f aca="false">SUM(AD34:AD39)</f>
        <v>68</v>
      </c>
      <c r="AE40" s="21" t="n">
        <f aca="false">SUM(AE34:AE39)</f>
        <v>27</v>
      </c>
      <c r="AF40" s="44" t="n">
        <f aca="false">SUM(AF34:AF39)</f>
        <v>25</v>
      </c>
      <c r="AG40" s="44" t="n">
        <f aca="false">SUM(AG34:AG39)</f>
        <v>18</v>
      </c>
      <c r="AH40" s="44" t="n">
        <f aca="false">SUM(AH34:AH39)</f>
        <v>56</v>
      </c>
      <c r="AI40" s="44" t="n">
        <f aca="false">SUM(AI34:AI39)</f>
        <v>29</v>
      </c>
      <c r="AJ40" s="44" t="n">
        <f aca="false">SUM(AJ34:AJ39)</f>
        <v>10</v>
      </c>
      <c r="AK40" s="44" t="n">
        <f aca="false">SUM(AK34:AK39)</f>
        <v>9</v>
      </c>
      <c r="AL40" s="44" t="n">
        <f aca="false">SUM(AL34:AL39)</f>
        <v>19</v>
      </c>
      <c r="AM40" s="44" t="n">
        <f aca="false">SUM(AM34:AM39)</f>
        <v>15</v>
      </c>
      <c r="AN40" s="21" t="n">
        <f aca="false">SUM(AN34:AN39)</f>
        <v>81</v>
      </c>
      <c r="AO40" s="21" t="n">
        <f aca="false">SUM(AO34:AO39)</f>
        <v>73</v>
      </c>
      <c r="AP40" s="21" t="n">
        <f aca="false">SUM(AP34:AP39)</f>
        <v>233</v>
      </c>
      <c r="AQ40" s="21" t="n">
        <f aca="false">SUM(AQ34:AQ39)</f>
        <v>192</v>
      </c>
      <c r="AR40" s="44" t="n">
        <f aca="false">SUM(AR34:AR39)</f>
        <v>96</v>
      </c>
      <c r="AS40" s="44" t="n">
        <f aca="false">SUM(AS34:AS39)</f>
        <v>78</v>
      </c>
      <c r="AT40" s="44" t="n">
        <f aca="false">SUM(AT34:AT39)</f>
        <v>158</v>
      </c>
      <c r="AU40" s="44" t="n">
        <f aca="false">SUM(AU34:AU39)</f>
        <v>105</v>
      </c>
      <c r="AV40" s="44" t="n">
        <f aca="false">SUM(AV34:AV39)</f>
        <v>60</v>
      </c>
      <c r="AW40" s="44" t="n">
        <f aca="false">SUM(AW34:AW39)</f>
        <v>39</v>
      </c>
      <c r="AX40" s="44" t="n">
        <f aca="false">SUM(AX34:AX39)</f>
        <v>81</v>
      </c>
      <c r="AY40" s="44" t="n">
        <f aca="false">SUM(AY34:AY39)</f>
        <v>47</v>
      </c>
      <c r="AZ40" s="21" t="n">
        <f aca="false">SUM(AZ34:AZ39)</f>
        <v>73</v>
      </c>
      <c r="BA40" s="21" t="n">
        <f aca="false">SUM(BA34:BA39)</f>
        <v>154</v>
      </c>
      <c r="BB40" s="21" t="n">
        <f aca="false">SUM(BB34:BB39)</f>
        <v>192</v>
      </c>
      <c r="BC40" s="21" t="n">
        <f aca="false">SUM(BC34:BC39)</f>
        <v>425</v>
      </c>
      <c r="BD40" s="21" t="n">
        <f aca="false">SUM(BD34:BD39)</f>
        <v>78</v>
      </c>
      <c r="BE40" s="21" t="n">
        <f aca="false">SUM(BE34:BE39)</f>
        <v>174</v>
      </c>
      <c r="BF40" s="21" t="n">
        <f aca="false">SUM(BF34:BF39)</f>
        <v>105</v>
      </c>
      <c r="BG40" s="21" t="n">
        <f aca="false">SUM(BG34:BG39)</f>
        <v>263</v>
      </c>
      <c r="BH40" s="21" t="n">
        <f aca="false">SUM(BH34:BH39)</f>
        <v>39</v>
      </c>
      <c r="BI40" s="21" t="n">
        <f aca="false">SUM(BI34:BI39)</f>
        <v>99</v>
      </c>
      <c r="BJ40" s="21" t="n">
        <f aca="false">SUM(BJ34:BJ39)</f>
        <v>47</v>
      </c>
      <c r="BK40" s="21" t="n">
        <f aca="false">SUM(BK34:BK39)</f>
        <v>128</v>
      </c>
      <c r="BL40" s="21" t="n">
        <f aca="false">SUM(BL34:BL39)</f>
        <v>273</v>
      </c>
      <c r="BM40" s="21" t="n">
        <f aca="false">SUM(BM34:BM39)</f>
        <v>391</v>
      </c>
      <c r="BN40" s="45" t="n">
        <f aca="false">SUM(BN34:BN39)</f>
        <v>664</v>
      </c>
      <c r="BO40" s="45" t="n">
        <f aca="false">BN40/N40*100</f>
        <v>26.5706282513005</v>
      </c>
      <c r="BP40" s="21" t="n">
        <f aca="false">SUM(BP34:BP39)</f>
        <v>173</v>
      </c>
      <c r="BQ40" s="21" t="n">
        <f aca="false">SUM(BQ34:BQ39)</f>
        <v>1</v>
      </c>
      <c r="BR40" s="21" t="n">
        <f aca="false">SUM(BR34:BR39)</f>
        <v>0</v>
      </c>
      <c r="BS40" s="21" t="n">
        <f aca="false">SUM(BS34:BS39)</f>
        <v>76</v>
      </c>
      <c r="BT40" s="21" t="n">
        <f aca="false">SUM(BT34:BT39)</f>
        <v>0</v>
      </c>
      <c r="BU40" s="21" t="n">
        <f aca="false">SUM(BU34:BU39)</f>
        <v>0</v>
      </c>
    </row>
    <row r="41" customFormat="false" ht="15.75" hidden="false" customHeight="false" outlineLevel="0" collapsed="false"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</row>
    <row r="42" customFormat="false" ht="15.75" hidden="false" customHeight="false" outlineLevel="0" collapsed="false"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</row>
    <row r="43" customFormat="false" ht="15.75" hidden="false" customHeight="false" outlineLevel="0" collapsed="false"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</row>
    <row r="44" customFormat="false" ht="15.75" hidden="false" customHeight="false" outlineLevel="0" collapsed="false"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</row>
    <row r="45" customFormat="false" ht="15.75" hidden="false" customHeight="false" outlineLevel="0" collapsed="false">
      <c r="A45" s="2" t="s">
        <v>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</row>
    <row r="47" customFormat="false" ht="15.75" hidden="false" customHeight="false" outlineLevel="0" collapsed="false">
      <c r="A47" s="3" t="s">
        <v>1</v>
      </c>
      <c r="B47" s="4"/>
      <c r="C47" s="4" t="s">
        <v>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</row>
    <row r="48" customFormat="false" ht="15.75" hidden="false" customHeight="false" outlineLevel="0" collapsed="false">
      <c r="A48" s="3" t="s">
        <v>3</v>
      </c>
      <c r="B48" s="4"/>
      <c r="C48" s="4" t="s">
        <v>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</row>
    <row r="49" customFormat="false" ht="15.75" hidden="false" customHeight="false" outlineLevel="0" collapsed="false">
      <c r="A49" s="3" t="s">
        <v>5</v>
      </c>
      <c r="B49" s="4"/>
      <c r="C49" s="4" t="s">
        <v>53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</row>
    <row r="50" customFormat="false" ht="15.75" hidden="false" customHeight="false" outlineLevel="0" collapsed="false">
      <c r="A50" s="4"/>
      <c r="B50" s="4"/>
      <c r="C50" s="4"/>
      <c r="D50" s="4"/>
      <c r="E50" s="4"/>
      <c r="F50" s="4"/>
      <c r="G50" s="4"/>
      <c r="H50" s="5"/>
      <c r="I50" s="5"/>
      <c r="J50" s="5"/>
      <c r="K50" s="5"/>
      <c r="L50" s="5"/>
      <c r="M50" s="5"/>
      <c r="N50" s="5"/>
      <c r="O50" s="5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</row>
    <row r="51" customFormat="false" ht="33.75" hidden="false" customHeight="true" outlineLevel="0" collapsed="false">
      <c r="A51" s="7" t="s">
        <v>7</v>
      </c>
      <c r="B51" s="8" t="s">
        <v>8</v>
      </c>
      <c r="C51" s="8" t="s">
        <v>9</v>
      </c>
      <c r="D51" s="9" t="s">
        <v>10</v>
      </c>
      <c r="E51" s="9" t="s">
        <v>11</v>
      </c>
      <c r="F51" s="9" t="s">
        <v>12</v>
      </c>
      <c r="G51" s="9" t="s">
        <v>13</v>
      </c>
      <c r="H51" s="10" t="s">
        <v>14</v>
      </c>
      <c r="I51" s="10"/>
      <c r="J51" s="10"/>
      <c r="K51" s="10"/>
      <c r="L51" s="10"/>
      <c r="M51" s="11"/>
      <c r="N51" s="11"/>
      <c r="O51" s="8" t="s">
        <v>15</v>
      </c>
      <c r="P51" s="11" t="s">
        <v>16</v>
      </c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0" t="s">
        <v>17</v>
      </c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7" t="s">
        <v>18</v>
      </c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 t="s">
        <v>19</v>
      </c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8" t="s">
        <v>20</v>
      </c>
      <c r="BM51" s="8"/>
      <c r="BN51" s="8"/>
      <c r="BO51" s="8"/>
      <c r="BP51" s="7" t="s">
        <v>21</v>
      </c>
      <c r="BQ51" s="7"/>
      <c r="BR51" s="7"/>
      <c r="BS51" s="7" t="s">
        <v>21</v>
      </c>
      <c r="BT51" s="7"/>
      <c r="BU51" s="7"/>
    </row>
    <row r="52" customFormat="false" ht="44.25" hidden="false" customHeight="true" outlineLevel="0" collapsed="false">
      <c r="A52" s="7"/>
      <c r="B52" s="8"/>
      <c r="C52" s="8"/>
      <c r="D52" s="9"/>
      <c r="E52" s="9"/>
      <c r="F52" s="9"/>
      <c r="G52" s="9"/>
      <c r="H52" s="7" t="s">
        <v>22</v>
      </c>
      <c r="I52" s="7"/>
      <c r="J52" s="7" t="s">
        <v>23</v>
      </c>
      <c r="K52" s="7"/>
      <c r="L52" s="7" t="s">
        <v>24</v>
      </c>
      <c r="M52" s="7"/>
      <c r="N52" s="12" t="s">
        <v>25</v>
      </c>
      <c r="O52" s="8"/>
      <c r="P52" s="11" t="s">
        <v>22</v>
      </c>
      <c r="Q52" s="11"/>
      <c r="R52" s="11"/>
      <c r="S52" s="11"/>
      <c r="T52" s="10" t="s">
        <v>23</v>
      </c>
      <c r="U52" s="10"/>
      <c r="V52" s="10"/>
      <c r="W52" s="10"/>
      <c r="X52" s="10" t="s">
        <v>24</v>
      </c>
      <c r="Y52" s="10"/>
      <c r="Z52" s="10"/>
      <c r="AA52" s="10"/>
      <c r="AB52" s="10" t="s">
        <v>22</v>
      </c>
      <c r="AC52" s="10"/>
      <c r="AD52" s="10"/>
      <c r="AE52" s="10"/>
      <c r="AF52" s="10" t="s">
        <v>23</v>
      </c>
      <c r="AG52" s="10"/>
      <c r="AH52" s="10"/>
      <c r="AI52" s="10"/>
      <c r="AJ52" s="10" t="s">
        <v>24</v>
      </c>
      <c r="AK52" s="10"/>
      <c r="AL52" s="10"/>
      <c r="AM52" s="10"/>
      <c r="AN52" s="7" t="s">
        <v>22</v>
      </c>
      <c r="AO52" s="7"/>
      <c r="AP52" s="7"/>
      <c r="AQ52" s="7"/>
      <c r="AR52" s="7" t="s">
        <v>23</v>
      </c>
      <c r="AS52" s="7"/>
      <c r="AT52" s="7"/>
      <c r="AU52" s="7"/>
      <c r="AV52" s="7" t="s">
        <v>24</v>
      </c>
      <c r="AW52" s="7"/>
      <c r="AX52" s="7"/>
      <c r="AY52" s="7"/>
      <c r="AZ52" s="7" t="s">
        <v>22</v>
      </c>
      <c r="BA52" s="7"/>
      <c r="BB52" s="7"/>
      <c r="BC52" s="7"/>
      <c r="BD52" s="7" t="s">
        <v>23</v>
      </c>
      <c r="BE52" s="7"/>
      <c r="BF52" s="7"/>
      <c r="BG52" s="7"/>
      <c r="BH52" s="7" t="s">
        <v>24</v>
      </c>
      <c r="BI52" s="7"/>
      <c r="BJ52" s="7"/>
      <c r="BK52" s="7"/>
      <c r="BL52" s="7" t="s">
        <v>26</v>
      </c>
      <c r="BM52" s="7"/>
      <c r="BN52" s="7"/>
      <c r="BO52" s="7"/>
      <c r="BP52" s="7" t="s">
        <v>27</v>
      </c>
      <c r="BQ52" s="7"/>
      <c r="BR52" s="7"/>
      <c r="BS52" s="7" t="s">
        <v>28</v>
      </c>
      <c r="BT52" s="7"/>
      <c r="BU52" s="7"/>
    </row>
    <row r="53" customFormat="false" ht="27" hidden="false" customHeight="true" outlineLevel="0" collapsed="false">
      <c r="A53" s="7"/>
      <c r="B53" s="8"/>
      <c r="C53" s="8"/>
      <c r="D53" s="9"/>
      <c r="E53" s="9"/>
      <c r="F53" s="9"/>
      <c r="G53" s="9"/>
      <c r="H53" s="7" t="s">
        <v>29</v>
      </c>
      <c r="I53" s="7" t="s">
        <v>30</v>
      </c>
      <c r="J53" s="7" t="s">
        <v>29</v>
      </c>
      <c r="K53" s="7" t="s">
        <v>30</v>
      </c>
      <c r="L53" s="7" t="s">
        <v>29</v>
      </c>
      <c r="M53" s="7" t="s">
        <v>30</v>
      </c>
      <c r="N53" s="12"/>
      <c r="O53" s="8"/>
      <c r="P53" s="11" t="s">
        <v>29</v>
      </c>
      <c r="Q53" s="11"/>
      <c r="R53" s="10" t="s">
        <v>30</v>
      </c>
      <c r="S53" s="10"/>
      <c r="T53" s="10" t="s">
        <v>29</v>
      </c>
      <c r="U53" s="10"/>
      <c r="V53" s="10" t="s">
        <v>30</v>
      </c>
      <c r="W53" s="10"/>
      <c r="X53" s="10" t="s">
        <v>29</v>
      </c>
      <c r="Y53" s="10"/>
      <c r="Z53" s="10" t="s">
        <v>30</v>
      </c>
      <c r="AA53" s="10"/>
      <c r="AB53" s="10" t="s">
        <v>29</v>
      </c>
      <c r="AC53" s="10"/>
      <c r="AD53" s="10" t="s">
        <v>30</v>
      </c>
      <c r="AE53" s="10"/>
      <c r="AF53" s="10" t="s">
        <v>29</v>
      </c>
      <c r="AG53" s="10"/>
      <c r="AH53" s="10" t="s">
        <v>30</v>
      </c>
      <c r="AI53" s="10"/>
      <c r="AJ53" s="10" t="s">
        <v>29</v>
      </c>
      <c r="AK53" s="10"/>
      <c r="AL53" s="10" t="s">
        <v>30</v>
      </c>
      <c r="AM53" s="10"/>
      <c r="AN53" s="13" t="s">
        <v>29</v>
      </c>
      <c r="AO53" s="13"/>
      <c r="AP53" s="13" t="s">
        <v>30</v>
      </c>
      <c r="AQ53" s="13"/>
      <c r="AR53" s="13" t="s">
        <v>29</v>
      </c>
      <c r="AS53" s="13"/>
      <c r="AT53" s="13" t="s">
        <v>30</v>
      </c>
      <c r="AU53" s="13"/>
      <c r="AV53" s="13" t="s">
        <v>29</v>
      </c>
      <c r="AW53" s="13"/>
      <c r="AX53" s="13" t="s">
        <v>30</v>
      </c>
      <c r="AY53" s="13"/>
      <c r="AZ53" s="14" t="s">
        <v>29</v>
      </c>
      <c r="BA53" s="14"/>
      <c r="BB53" s="14" t="s">
        <v>30</v>
      </c>
      <c r="BC53" s="14"/>
      <c r="BD53" s="14" t="s">
        <v>29</v>
      </c>
      <c r="BE53" s="14"/>
      <c r="BF53" s="14" t="s">
        <v>30</v>
      </c>
      <c r="BG53" s="14"/>
      <c r="BH53" s="14" t="s">
        <v>29</v>
      </c>
      <c r="BI53" s="14"/>
      <c r="BJ53" s="14" t="s">
        <v>30</v>
      </c>
      <c r="BK53" s="14"/>
      <c r="BL53" s="15" t="s">
        <v>29</v>
      </c>
      <c r="BM53" s="15" t="s">
        <v>30</v>
      </c>
      <c r="BN53" s="15" t="s">
        <v>31</v>
      </c>
      <c r="BO53" s="15" t="s">
        <v>32</v>
      </c>
      <c r="BP53" s="7" t="s">
        <v>33</v>
      </c>
      <c r="BQ53" s="7" t="s">
        <v>34</v>
      </c>
      <c r="BR53" s="7" t="s">
        <v>35</v>
      </c>
      <c r="BS53" s="7" t="s">
        <v>33</v>
      </c>
      <c r="BT53" s="7" t="s">
        <v>34</v>
      </c>
      <c r="BU53" s="7" t="s">
        <v>35</v>
      </c>
    </row>
    <row r="54" customFormat="false" ht="85.5" hidden="false" customHeight="true" outlineLevel="0" collapsed="false">
      <c r="A54" s="7"/>
      <c r="B54" s="8"/>
      <c r="C54" s="8"/>
      <c r="D54" s="9"/>
      <c r="E54" s="9"/>
      <c r="F54" s="9"/>
      <c r="G54" s="9"/>
      <c r="H54" s="7"/>
      <c r="I54" s="7"/>
      <c r="J54" s="7"/>
      <c r="K54" s="7"/>
      <c r="L54" s="7"/>
      <c r="M54" s="7"/>
      <c r="N54" s="12"/>
      <c r="O54" s="8"/>
      <c r="P54" s="16" t="s">
        <v>36</v>
      </c>
      <c r="Q54" s="17" t="s">
        <v>37</v>
      </c>
      <c r="R54" s="17" t="s">
        <v>36</v>
      </c>
      <c r="S54" s="17" t="s">
        <v>37</v>
      </c>
      <c r="T54" s="17" t="s">
        <v>36</v>
      </c>
      <c r="U54" s="17" t="s">
        <v>37</v>
      </c>
      <c r="V54" s="17" t="s">
        <v>36</v>
      </c>
      <c r="W54" s="17" t="s">
        <v>37</v>
      </c>
      <c r="X54" s="17" t="s">
        <v>36</v>
      </c>
      <c r="Y54" s="17" t="s">
        <v>37</v>
      </c>
      <c r="Z54" s="17" t="s">
        <v>36</v>
      </c>
      <c r="AA54" s="17" t="s">
        <v>37</v>
      </c>
      <c r="AB54" s="17" t="s">
        <v>36</v>
      </c>
      <c r="AC54" s="17" t="s">
        <v>37</v>
      </c>
      <c r="AD54" s="17" t="s">
        <v>36</v>
      </c>
      <c r="AE54" s="17" t="s">
        <v>37</v>
      </c>
      <c r="AF54" s="17" t="s">
        <v>36</v>
      </c>
      <c r="AG54" s="17" t="s">
        <v>37</v>
      </c>
      <c r="AH54" s="17" t="s">
        <v>36</v>
      </c>
      <c r="AI54" s="17" t="s">
        <v>37</v>
      </c>
      <c r="AJ54" s="17" t="s">
        <v>36</v>
      </c>
      <c r="AK54" s="17" t="s">
        <v>37</v>
      </c>
      <c r="AL54" s="17" t="s">
        <v>36</v>
      </c>
      <c r="AM54" s="17" t="s">
        <v>37</v>
      </c>
      <c r="AN54" s="18" t="s">
        <v>38</v>
      </c>
      <c r="AO54" s="18" t="s">
        <v>39</v>
      </c>
      <c r="AP54" s="18" t="s">
        <v>38</v>
      </c>
      <c r="AQ54" s="18" t="s">
        <v>39</v>
      </c>
      <c r="AR54" s="18" t="s">
        <v>38</v>
      </c>
      <c r="AS54" s="18" t="s">
        <v>39</v>
      </c>
      <c r="AT54" s="18" t="s">
        <v>38</v>
      </c>
      <c r="AU54" s="18" t="s">
        <v>39</v>
      </c>
      <c r="AV54" s="18" t="s">
        <v>38</v>
      </c>
      <c r="AW54" s="18" t="s">
        <v>39</v>
      </c>
      <c r="AX54" s="18" t="s">
        <v>38</v>
      </c>
      <c r="AY54" s="18" t="s">
        <v>39</v>
      </c>
      <c r="AZ54" s="19" t="s">
        <v>40</v>
      </c>
      <c r="BA54" s="20" t="s">
        <v>41</v>
      </c>
      <c r="BB54" s="19" t="s">
        <v>40</v>
      </c>
      <c r="BC54" s="20" t="s">
        <v>41</v>
      </c>
      <c r="BD54" s="19" t="s">
        <v>40</v>
      </c>
      <c r="BE54" s="20" t="s">
        <v>41</v>
      </c>
      <c r="BF54" s="19" t="s">
        <v>40</v>
      </c>
      <c r="BG54" s="20" t="s">
        <v>41</v>
      </c>
      <c r="BH54" s="19" t="s">
        <v>40</v>
      </c>
      <c r="BI54" s="20" t="s">
        <v>41</v>
      </c>
      <c r="BJ54" s="19" t="s">
        <v>40</v>
      </c>
      <c r="BK54" s="20" t="s">
        <v>41</v>
      </c>
      <c r="BL54" s="21" t="s">
        <v>41</v>
      </c>
      <c r="BM54" s="21" t="s">
        <v>41</v>
      </c>
      <c r="BN54" s="15"/>
      <c r="BO54" s="15"/>
      <c r="BP54" s="7"/>
      <c r="BQ54" s="7"/>
      <c r="BR54" s="7"/>
      <c r="BS54" s="7"/>
      <c r="BT54" s="7"/>
      <c r="BU54" s="7"/>
    </row>
    <row r="55" s="26" customFormat="true" ht="13.5" hidden="false" customHeight="true" outlineLevel="0" collapsed="false">
      <c r="A55" s="22" t="n">
        <v>1</v>
      </c>
      <c r="B55" s="23" t="n">
        <v>2</v>
      </c>
      <c r="C55" s="23" t="n">
        <f aca="false">+B55+1</f>
        <v>3</v>
      </c>
      <c r="D55" s="23" t="n">
        <v>4</v>
      </c>
      <c r="E55" s="23" t="n">
        <v>5</v>
      </c>
      <c r="F55" s="23" t="n">
        <v>6</v>
      </c>
      <c r="G55" s="23" t="n">
        <v>7</v>
      </c>
      <c r="H55" s="24" t="n">
        <v>8</v>
      </c>
      <c r="I55" s="24"/>
      <c r="J55" s="24"/>
      <c r="K55" s="24"/>
      <c r="L55" s="24"/>
      <c r="M55" s="24"/>
      <c r="N55" s="25" t="n">
        <v>9</v>
      </c>
      <c r="O55" s="24" t="n">
        <v>10</v>
      </c>
      <c r="P55" s="24" t="n">
        <v>11</v>
      </c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3" t="n">
        <v>12</v>
      </c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13" t="n">
        <v>13</v>
      </c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4" t="n">
        <v>14</v>
      </c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5" t="n">
        <v>15</v>
      </c>
      <c r="BM55" s="15"/>
      <c r="BN55" s="15"/>
      <c r="BO55" s="15"/>
      <c r="BP55" s="24" t="n">
        <v>16</v>
      </c>
      <c r="BQ55" s="24"/>
      <c r="BR55" s="24"/>
      <c r="BS55" s="24" t="n">
        <v>17</v>
      </c>
      <c r="BT55" s="24"/>
      <c r="BU55" s="24"/>
    </row>
    <row r="56" s="41" customFormat="true" ht="32.25" hidden="false" customHeight="true" outlineLevel="0" collapsed="false">
      <c r="A56" s="27" t="n">
        <v>1</v>
      </c>
      <c r="B56" s="28" t="s">
        <v>42</v>
      </c>
      <c r="C56" s="10" t="n">
        <v>3</v>
      </c>
      <c r="D56" s="10" t="n">
        <v>0</v>
      </c>
      <c r="E56" s="10" t="n">
        <v>3</v>
      </c>
      <c r="F56" s="10" t="n">
        <v>0</v>
      </c>
      <c r="G56" s="10" t="n">
        <v>0</v>
      </c>
      <c r="H56" s="29" t="n">
        <v>200</v>
      </c>
      <c r="I56" s="29" t="n">
        <v>243</v>
      </c>
      <c r="J56" s="30" t="n">
        <v>180</v>
      </c>
      <c r="K56" s="30" t="n">
        <v>209</v>
      </c>
      <c r="L56" s="30" t="n">
        <v>110</v>
      </c>
      <c r="M56" s="30" t="n">
        <v>117</v>
      </c>
      <c r="N56" s="31" t="n">
        <f aca="false">SUM(J56:M56)</f>
        <v>616</v>
      </c>
      <c r="O56" s="32" t="n">
        <v>0</v>
      </c>
      <c r="P56" s="33" t="n">
        <f aca="false">P34+Q34</f>
        <v>40</v>
      </c>
      <c r="Q56" s="33" t="n">
        <v>20</v>
      </c>
      <c r="R56" s="33" t="n">
        <f aca="false">R34+S34</f>
        <v>100</v>
      </c>
      <c r="S56" s="33" t="n">
        <v>50</v>
      </c>
      <c r="T56" s="33" t="n">
        <f aca="false">T34+U34</f>
        <v>22</v>
      </c>
      <c r="U56" s="34" t="n">
        <v>7</v>
      </c>
      <c r="V56" s="33" t="n">
        <f aca="false">V34+W34</f>
        <v>48</v>
      </c>
      <c r="W56" s="34" t="n">
        <v>10</v>
      </c>
      <c r="X56" s="33" t="n">
        <f aca="false">X34+Y34</f>
        <v>36</v>
      </c>
      <c r="Y56" s="34" t="n">
        <v>10</v>
      </c>
      <c r="Z56" s="33" t="n">
        <f aca="false">Z34+AA34</f>
        <v>31</v>
      </c>
      <c r="AA56" s="34" t="n">
        <v>6</v>
      </c>
      <c r="AB56" s="33" t="n">
        <f aca="false">AB34+AC34</f>
        <v>8</v>
      </c>
      <c r="AC56" s="33" t="n">
        <v>6</v>
      </c>
      <c r="AD56" s="33" t="n">
        <f aca="false">AD34+AE34</f>
        <v>15</v>
      </c>
      <c r="AE56" s="33" t="n">
        <v>7</v>
      </c>
      <c r="AF56" s="33" t="n">
        <f aca="false">AF34+AG34</f>
        <v>18</v>
      </c>
      <c r="AG56" s="34" t="n">
        <v>7</v>
      </c>
      <c r="AH56" s="33" t="n">
        <f aca="false">AH34+AI34</f>
        <v>21</v>
      </c>
      <c r="AI56" s="34" t="n">
        <v>8</v>
      </c>
      <c r="AJ56" s="33" t="n">
        <f aca="false">AJ34+AK34</f>
        <v>0</v>
      </c>
      <c r="AK56" s="34" t="n">
        <v>2</v>
      </c>
      <c r="AL56" s="33" t="n">
        <f aca="false">AL34+AM34</f>
        <v>3</v>
      </c>
      <c r="AM56" s="34" t="n">
        <v>3</v>
      </c>
      <c r="AN56" s="35" t="n">
        <f aca="false">P56+AB56</f>
        <v>48</v>
      </c>
      <c r="AO56" s="35" t="n">
        <f aca="false">Q56+AC56</f>
        <v>26</v>
      </c>
      <c r="AP56" s="35" t="n">
        <f aca="false">R56+AD56</f>
        <v>115</v>
      </c>
      <c r="AQ56" s="35" t="n">
        <f aca="false">S56+AE56</f>
        <v>57</v>
      </c>
      <c r="AR56" s="35" t="n">
        <f aca="false">T56+AF56</f>
        <v>40</v>
      </c>
      <c r="AS56" s="35" t="n">
        <f aca="false">U56+AG56</f>
        <v>14</v>
      </c>
      <c r="AT56" s="35" t="n">
        <f aca="false">V56+AH56</f>
        <v>69</v>
      </c>
      <c r="AU56" s="35" t="n">
        <f aca="false">W56+AI56</f>
        <v>18</v>
      </c>
      <c r="AV56" s="35" t="n">
        <f aca="false">X56+AJ56</f>
        <v>36</v>
      </c>
      <c r="AW56" s="35" t="n">
        <f aca="false">Y56+AK56</f>
        <v>12</v>
      </c>
      <c r="AX56" s="35" t="n">
        <f aca="false">Z56+AL56</f>
        <v>34</v>
      </c>
      <c r="AY56" s="35" t="n">
        <f aca="false">AA56+AM56</f>
        <v>9</v>
      </c>
      <c r="AZ56" s="36" t="n">
        <f aca="false">AO56</f>
        <v>26</v>
      </c>
      <c r="BA56" s="36" t="n">
        <f aca="false">SUM(AN56:AO56)</f>
        <v>74</v>
      </c>
      <c r="BB56" s="36" t="n">
        <f aca="false">S56+AE56</f>
        <v>57</v>
      </c>
      <c r="BC56" s="36" t="n">
        <f aca="false">SUM(AP56:AQ56)</f>
        <v>172</v>
      </c>
      <c r="BD56" s="36" t="n">
        <f aca="false">U56+AG56</f>
        <v>14</v>
      </c>
      <c r="BE56" s="36" t="n">
        <f aca="false">SUM(AR56:AS56)</f>
        <v>54</v>
      </c>
      <c r="BF56" s="36" t="n">
        <f aca="false">W56+AI56</f>
        <v>18</v>
      </c>
      <c r="BG56" s="36" t="n">
        <f aca="false">SUM(AT56:AU56)</f>
        <v>87</v>
      </c>
      <c r="BH56" s="36" t="n">
        <f aca="false">Y56+AK56</f>
        <v>12</v>
      </c>
      <c r="BI56" s="36" t="n">
        <f aca="false">SUM(AV56:AW56)</f>
        <v>48</v>
      </c>
      <c r="BJ56" s="36" t="n">
        <f aca="false">AA56+AM56</f>
        <v>9</v>
      </c>
      <c r="BK56" s="36" t="n">
        <f aca="false">SUM(AX56:AY56)</f>
        <v>43</v>
      </c>
      <c r="BL56" s="37" t="n">
        <f aca="false">BE56+BI56</f>
        <v>102</v>
      </c>
      <c r="BM56" s="37" t="n">
        <f aca="false">BG56+BK56</f>
        <v>130</v>
      </c>
      <c r="BN56" s="38" t="n">
        <f aca="false">BL56+BM56</f>
        <v>232</v>
      </c>
      <c r="BO56" s="39" t="n">
        <f aca="false">BN56/N56*100</f>
        <v>37.6623376623377</v>
      </c>
      <c r="BP56" s="10" t="n">
        <v>32</v>
      </c>
      <c r="BQ56" s="10" t="n">
        <v>0</v>
      </c>
      <c r="BR56" s="10" t="n">
        <v>0</v>
      </c>
      <c r="BS56" s="10" t="n">
        <v>21</v>
      </c>
      <c r="BT56" s="10" t="n">
        <v>0</v>
      </c>
      <c r="BU56" s="10" t="n">
        <v>0</v>
      </c>
    </row>
    <row r="57" s="41" customFormat="true" ht="32.25" hidden="false" customHeight="true" outlineLevel="0" collapsed="false">
      <c r="A57" s="27" t="n">
        <v>2</v>
      </c>
      <c r="B57" s="28" t="s">
        <v>43</v>
      </c>
      <c r="C57" s="10" t="n">
        <v>3</v>
      </c>
      <c r="D57" s="10" t="n">
        <v>0</v>
      </c>
      <c r="E57" s="10" t="n">
        <v>3</v>
      </c>
      <c r="F57" s="10" t="n">
        <v>0</v>
      </c>
      <c r="G57" s="10" t="n">
        <v>0</v>
      </c>
      <c r="H57" s="29" t="n">
        <v>385</v>
      </c>
      <c r="I57" s="29" t="n">
        <v>393</v>
      </c>
      <c r="J57" s="30" t="n">
        <v>165</v>
      </c>
      <c r="K57" s="30" t="n">
        <v>177</v>
      </c>
      <c r="L57" s="30" t="n">
        <v>95</v>
      </c>
      <c r="M57" s="30" t="n">
        <v>104</v>
      </c>
      <c r="N57" s="31" t="n">
        <f aca="false">SUM(J57:M57)</f>
        <v>541</v>
      </c>
      <c r="O57" s="32" t="n">
        <v>0</v>
      </c>
      <c r="P57" s="33" t="n">
        <f aca="false">P35+Q35</f>
        <v>20</v>
      </c>
      <c r="Q57" s="33" t="n">
        <v>10</v>
      </c>
      <c r="R57" s="33" t="n">
        <f aca="false">R35+S35</f>
        <v>80</v>
      </c>
      <c r="S57" s="33" t="n">
        <v>40</v>
      </c>
      <c r="T57" s="33" t="n">
        <f aca="false">T35+U35</f>
        <v>45</v>
      </c>
      <c r="U57" s="34" t="n">
        <v>10</v>
      </c>
      <c r="V57" s="33" t="n">
        <f aca="false">V35+W35</f>
        <v>45</v>
      </c>
      <c r="W57" s="34" t="n">
        <v>15</v>
      </c>
      <c r="X57" s="33" t="n">
        <f aca="false">X35+Y35</f>
        <v>24</v>
      </c>
      <c r="Y57" s="34" t="n">
        <v>7</v>
      </c>
      <c r="Z57" s="33" t="n">
        <f aca="false">Z35+AA35</f>
        <v>24</v>
      </c>
      <c r="AA57" s="34" t="n">
        <v>9</v>
      </c>
      <c r="AB57" s="33" t="n">
        <f aca="false">AB35+AC35</f>
        <v>9</v>
      </c>
      <c r="AC57" s="33" t="n">
        <v>4</v>
      </c>
      <c r="AD57" s="33" t="n">
        <f aca="false">AD35+AE35</f>
        <v>18</v>
      </c>
      <c r="AE57" s="33" t="n">
        <v>7</v>
      </c>
      <c r="AF57" s="33" t="n">
        <f aca="false">AF35+AG35</f>
        <v>7</v>
      </c>
      <c r="AG57" s="34" t="n">
        <v>3</v>
      </c>
      <c r="AH57" s="33" t="n">
        <f aca="false">AH35+AI35</f>
        <v>13</v>
      </c>
      <c r="AI57" s="34" t="n">
        <v>2</v>
      </c>
      <c r="AJ57" s="33" t="n">
        <f aca="false">AJ35+AK35</f>
        <v>4</v>
      </c>
      <c r="AK57" s="34" t="n">
        <v>2</v>
      </c>
      <c r="AL57" s="33" t="n">
        <f aca="false">AL35+AM35</f>
        <v>7</v>
      </c>
      <c r="AM57" s="34" t="n">
        <v>3</v>
      </c>
      <c r="AN57" s="35" t="n">
        <f aca="false">P57+AB57</f>
        <v>29</v>
      </c>
      <c r="AO57" s="35" t="n">
        <f aca="false">Q57+AC57</f>
        <v>14</v>
      </c>
      <c r="AP57" s="35" t="n">
        <f aca="false">R57+AD57</f>
        <v>98</v>
      </c>
      <c r="AQ57" s="35" t="n">
        <f aca="false">S57+AE57</f>
        <v>47</v>
      </c>
      <c r="AR57" s="35" t="n">
        <f aca="false">T57+AF57</f>
        <v>52</v>
      </c>
      <c r="AS57" s="35" t="n">
        <f aca="false">U57+AG57</f>
        <v>13</v>
      </c>
      <c r="AT57" s="35" t="n">
        <f aca="false">V57+AH57</f>
        <v>58</v>
      </c>
      <c r="AU57" s="35" t="n">
        <f aca="false">W57+AI57</f>
        <v>17</v>
      </c>
      <c r="AV57" s="35" t="n">
        <f aca="false">X57+AJ57</f>
        <v>28</v>
      </c>
      <c r="AW57" s="35" t="n">
        <f aca="false">Y57+AK57</f>
        <v>9</v>
      </c>
      <c r="AX57" s="35" t="n">
        <f aca="false">Z57+AL57</f>
        <v>31</v>
      </c>
      <c r="AY57" s="35" t="n">
        <f aca="false">AA57+AM57</f>
        <v>12</v>
      </c>
      <c r="AZ57" s="36" t="n">
        <f aca="false">AO57</f>
        <v>14</v>
      </c>
      <c r="BA57" s="36" t="n">
        <f aca="false">SUM(AN57:AO57)</f>
        <v>43</v>
      </c>
      <c r="BB57" s="36" t="n">
        <f aca="false">S57+AE57</f>
        <v>47</v>
      </c>
      <c r="BC57" s="36" t="n">
        <f aca="false">SUM(AP57:AQ57)</f>
        <v>145</v>
      </c>
      <c r="BD57" s="36" t="n">
        <f aca="false">U57+AG57</f>
        <v>13</v>
      </c>
      <c r="BE57" s="36" t="n">
        <f aca="false">SUM(AR57:AS57)</f>
        <v>65</v>
      </c>
      <c r="BF57" s="36" t="n">
        <f aca="false">W57+AI57</f>
        <v>17</v>
      </c>
      <c r="BG57" s="36" t="n">
        <f aca="false">SUM(AT57:AU57)</f>
        <v>75</v>
      </c>
      <c r="BH57" s="36" t="n">
        <f aca="false">Y57+AK57</f>
        <v>9</v>
      </c>
      <c r="BI57" s="36" t="n">
        <f aca="false">SUM(AV57:AW57)</f>
        <v>37</v>
      </c>
      <c r="BJ57" s="36" t="n">
        <f aca="false">AA57+AM57</f>
        <v>12</v>
      </c>
      <c r="BK57" s="36" t="n">
        <f aca="false">SUM(AX57:AY57)</f>
        <v>43</v>
      </c>
      <c r="BL57" s="37" t="n">
        <f aca="false">BE57+BI57</f>
        <v>102</v>
      </c>
      <c r="BM57" s="37" t="n">
        <f aca="false">BG57+BK57</f>
        <v>118</v>
      </c>
      <c r="BN57" s="38" t="n">
        <f aca="false">BL57+BM57</f>
        <v>220</v>
      </c>
      <c r="BO57" s="39" t="n">
        <f aca="false">BN57/N57*100</f>
        <v>40.6654343807763</v>
      </c>
      <c r="BP57" s="10" t="n">
        <v>30</v>
      </c>
      <c r="BQ57" s="10" t="n">
        <v>0</v>
      </c>
      <c r="BR57" s="10" t="n">
        <v>0</v>
      </c>
      <c r="BS57" s="10" t="n">
        <v>21</v>
      </c>
      <c r="BT57" s="10" t="n">
        <v>0</v>
      </c>
      <c r="BU57" s="10" t="n">
        <v>0</v>
      </c>
    </row>
    <row r="58" s="41" customFormat="true" ht="32.25" hidden="false" customHeight="true" outlineLevel="0" collapsed="false">
      <c r="A58" s="27" t="n">
        <v>3</v>
      </c>
      <c r="B58" s="28" t="s">
        <v>44</v>
      </c>
      <c r="C58" s="10" t="n">
        <v>2</v>
      </c>
      <c r="D58" s="10" t="n">
        <v>0</v>
      </c>
      <c r="E58" s="10" t="n">
        <v>2</v>
      </c>
      <c r="F58" s="10" t="n">
        <v>0</v>
      </c>
      <c r="G58" s="10" t="n">
        <v>0</v>
      </c>
      <c r="H58" s="29" t="n">
        <v>178</v>
      </c>
      <c r="I58" s="29" t="n">
        <v>178</v>
      </c>
      <c r="J58" s="30" t="n">
        <v>70</v>
      </c>
      <c r="K58" s="30" t="n">
        <v>87</v>
      </c>
      <c r="L58" s="30" t="n">
        <v>45</v>
      </c>
      <c r="M58" s="30" t="n">
        <v>46</v>
      </c>
      <c r="N58" s="31" t="n">
        <f aca="false">SUM(J58:M58)</f>
        <v>248</v>
      </c>
      <c r="O58" s="32" t="n">
        <v>0</v>
      </c>
      <c r="P58" s="33" t="n">
        <f aca="false">P36+Q36</f>
        <v>8</v>
      </c>
      <c r="Q58" s="33" t="n">
        <v>7</v>
      </c>
      <c r="R58" s="33" t="n">
        <f aca="false">R36+S36</f>
        <v>30</v>
      </c>
      <c r="S58" s="33" t="n">
        <v>17</v>
      </c>
      <c r="T58" s="33" t="n">
        <f aca="false">T36+U36</f>
        <v>20</v>
      </c>
      <c r="U58" s="34" t="n">
        <v>0</v>
      </c>
      <c r="V58" s="33" t="n">
        <f aca="false">V36+W36</f>
        <v>17</v>
      </c>
      <c r="W58" s="34" t="n">
        <v>1</v>
      </c>
      <c r="X58" s="33" t="n">
        <f aca="false">X36+Y36</f>
        <v>6</v>
      </c>
      <c r="Y58" s="34" t="n">
        <v>0</v>
      </c>
      <c r="Z58" s="33" t="n">
        <f aca="false">Z36+AA36</f>
        <v>9</v>
      </c>
      <c r="AA58" s="34" t="n">
        <v>0</v>
      </c>
      <c r="AB58" s="33" t="n">
        <f aca="false">AB36+AC36</f>
        <v>3</v>
      </c>
      <c r="AC58" s="33" t="n">
        <v>0</v>
      </c>
      <c r="AD58" s="33" t="n">
        <f aca="false">AD36+AE36</f>
        <v>6</v>
      </c>
      <c r="AE58" s="33" t="n">
        <v>0</v>
      </c>
      <c r="AF58" s="33" t="n">
        <f aca="false">AF36+AG36</f>
        <v>1</v>
      </c>
      <c r="AG58" s="34" t="n">
        <v>0</v>
      </c>
      <c r="AH58" s="33" t="n">
        <f aca="false">AH36+AI36</f>
        <v>4</v>
      </c>
      <c r="AI58" s="34" t="n">
        <v>0</v>
      </c>
      <c r="AJ58" s="33" t="n">
        <f aca="false">AJ36+AK36</f>
        <v>0</v>
      </c>
      <c r="AK58" s="34" t="n">
        <v>0</v>
      </c>
      <c r="AL58" s="33" t="n">
        <f aca="false">AL36+AM36</f>
        <v>3</v>
      </c>
      <c r="AM58" s="34" t="n">
        <v>0</v>
      </c>
      <c r="AN58" s="35" t="n">
        <f aca="false">P58+AB58</f>
        <v>11</v>
      </c>
      <c r="AO58" s="35" t="n">
        <f aca="false">Q58+AC58</f>
        <v>7</v>
      </c>
      <c r="AP58" s="35" t="n">
        <f aca="false">R58+AD58</f>
        <v>36</v>
      </c>
      <c r="AQ58" s="35" t="n">
        <f aca="false">S58+AE58</f>
        <v>17</v>
      </c>
      <c r="AR58" s="35" t="n">
        <f aca="false">T58+AF58</f>
        <v>21</v>
      </c>
      <c r="AS58" s="35" t="n">
        <f aca="false">U58+AG58</f>
        <v>0</v>
      </c>
      <c r="AT58" s="35" t="n">
        <f aca="false">V58+AH58</f>
        <v>21</v>
      </c>
      <c r="AU58" s="35" t="n">
        <f aca="false">W58+AI58</f>
        <v>1</v>
      </c>
      <c r="AV58" s="35" t="n">
        <f aca="false">X58+AJ58</f>
        <v>6</v>
      </c>
      <c r="AW58" s="35" t="n">
        <f aca="false">Y58+AK58</f>
        <v>0</v>
      </c>
      <c r="AX58" s="35" t="n">
        <f aca="false">Z58+AL58</f>
        <v>12</v>
      </c>
      <c r="AY58" s="35" t="n">
        <f aca="false">AA58+AM58</f>
        <v>0</v>
      </c>
      <c r="AZ58" s="36" t="n">
        <f aca="false">AO58</f>
        <v>7</v>
      </c>
      <c r="BA58" s="36" t="n">
        <f aca="false">SUM(AN58:AO58)</f>
        <v>18</v>
      </c>
      <c r="BB58" s="36" t="n">
        <f aca="false">S58+AE58</f>
        <v>17</v>
      </c>
      <c r="BC58" s="36" t="n">
        <f aca="false">SUM(AP58:AQ58)</f>
        <v>53</v>
      </c>
      <c r="BD58" s="36" t="n">
        <f aca="false">U58+AG58</f>
        <v>0</v>
      </c>
      <c r="BE58" s="36" t="n">
        <f aca="false">SUM(AR58:AS58)</f>
        <v>21</v>
      </c>
      <c r="BF58" s="36" t="n">
        <f aca="false">W58+AI58</f>
        <v>1</v>
      </c>
      <c r="BG58" s="36" t="n">
        <f aca="false">SUM(AT58:AU58)</f>
        <v>22</v>
      </c>
      <c r="BH58" s="36" t="n">
        <f aca="false">Y58+AK58</f>
        <v>0</v>
      </c>
      <c r="BI58" s="36" t="n">
        <f aca="false">SUM(AV58:AW58)</f>
        <v>6</v>
      </c>
      <c r="BJ58" s="36" t="n">
        <f aca="false">AA58+AM58</f>
        <v>0</v>
      </c>
      <c r="BK58" s="36" t="n">
        <f aca="false">SUM(AX58:AY58)</f>
        <v>12</v>
      </c>
      <c r="BL58" s="37" t="n">
        <f aca="false">BE58+BI58</f>
        <v>27</v>
      </c>
      <c r="BM58" s="37" t="n">
        <f aca="false">BG58+BK58</f>
        <v>34</v>
      </c>
      <c r="BN58" s="38" t="n">
        <f aca="false">BL58+BM58</f>
        <v>61</v>
      </c>
      <c r="BO58" s="39" t="n">
        <f aca="false">BN58/N58*100</f>
        <v>24.5967741935484</v>
      </c>
      <c r="BP58" s="10" t="n">
        <v>1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</row>
    <row r="59" s="41" customFormat="true" ht="32.25" hidden="false" customHeight="true" outlineLevel="0" collapsed="false">
      <c r="A59" s="27" t="n">
        <v>4</v>
      </c>
      <c r="B59" s="28" t="s">
        <v>45</v>
      </c>
      <c r="C59" s="10" t="n">
        <v>2</v>
      </c>
      <c r="D59" s="10" t="n">
        <v>0</v>
      </c>
      <c r="E59" s="10" t="n">
        <v>2</v>
      </c>
      <c r="F59" s="10" t="n">
        <v>0</v>
      </c>
      <c r="G59" s="10" t="n">
        <v>0</v>
      </c>
      <c r="H59" s="29" t="n">
        <v>245</v>
      </c>
      <c r="I59" s="29" t="n">
        <v>248</v>
      </c>
      <c r="J59" s="30" t="n">
        <v>100</v>
      </c>
      <c r="K59" s="30" t="n">
        <v>117</v>
      </c>
      <c r="L59" s="30" t="n">
        <v>60</v>
      </c>
      <c r="M59" s="30" t="n">
        <v>66</v>
      </c>
      <c r="N59" s="31" t="n">
        <f aca="false">SUM(J59:M59)</f>
        <v>343</v>
      </c>
      <c r="O59" s="32" t="n">
        <v>0</v>
      </c>
      <c r="P59" s="33" t="n">
        <f aca="false">P37+Q37</f>
        <v>10</v>
      </c>
      <c r="Q59" s="42" t="n">
        <v>6</v>
      </c>
      <c r="R59" s="33" t="n">
        <f aca="false">R37+S37</f>
        <v>40</v>
      </c>
      <c r="S59" s="33" t="n">
        <v>17</v>
      </c>
      <c r="T59" s="33" t="n">
        <f aca="false">T37+U37</f>
        <v>6</v>
      </c>
      <c r="U59" s="34" t="n">
        <v>2</v>
      </c>
      <c r="V59" s="33" t="n">
        <f aca="false">V37+W37</f>
        <v>22</v>
      </c>
      <c r="W59" s="34" t="n">
        <v>10</v>
      </c>
      <c r="X59" s="33" t="n">
        <f aca="false">X37+Y37</f>
        <v>5</v>
      </c>
      <c r="Y59" s="34" t="n">
        <v>2</v>
      </c>
      <c r="Z59" s="33" t="n">
        <f aca="false">Z37+AA37</f>
        <v>10</v>
      </c>
      <c r="AA59" s="34" t="n">
        <v>3</v>
      </c>
      <c r="AB59" s="33" t="n">
        <f aca="false">AB37+AC37</f>
        <v>11</v>
      </c>
      <c r="AC59" s="43" t="n">
        <v>4</v>
      </c>
      <c r="AD59" s="33" t="n">
        <f aca="false">AD37+AE37</f>
        <v>14</v>
      </c>
      <c r="AE59" s="33" t="n">
        <v>4</v>
      </c>
      <c r="AF59" s="33" t="n">
        <f aca="false">AF37+AG37</f>
        <v>12</v>
      </c>
      <c r="AG59" s="34" t="n">
        <v>7</v>
      </c>
      <c r="AH59" s="33" t="n">
        <f aca="false">AH37+AI37</f>
        <v>18</v>
      </c>
      <c r="AI59" s="34" t="n">
        <v>9</v>
      </c>
      <c r="AJ59" s="33" t="n">
        <f aca="false">AJ37+AK37</f>
        <v>11</v>
      </c>
      <c r="AK59" s="34" t="n">
        <v>5</v>
      </c>
      <c r="AL59" s="33" t="n">
        <f aca="false">AL37+AM37</f>
        <v>13</v>
      </c>
      <c r="AM59" s="34" t="n">
        <v>7</v>
      </c>
      <c r="AN59" s="35" t="n">
        <f aca="false">P59+AB59</f>
        <v>21</v>
      </c>
      <c r="AO59" s="35" t="n">
        <f aca="false">Q59+AC59</f>
        <v>10</v>
      </c>
      <c r="AP59" s="35" t="n">
        <f aca="false">R59+AD59</f>
        <v>54</v>
      </c>
      <c r="AQ59" s="35" t="n">
        <f aca="false">S59+AE59</f>
        <v>21</v>
      </c>
      <c r="AR59" s="35" t="n">
        <f aca="false">T59+AF59</f>
        <v>18</v>
      </c>
      <c r="AS59" s="35" t="n">
        <f aca="false">U59+AG59</f>
        <v>9</v>
      </c>
      <c r="AT59" s="35" t="n">
        <f aca="false">V59+AH59</f>
        <v>40</v>
      </c>
      <c r="AU59" s="35" t="n">
        <f aca="false">W59+AI59</f>
        <v>19</v>
      </c>
      <c r="AV59" s="35" t="n">
        <f aca="false">X59+AJ59</f>
        <v>16</v>
      </c>
      <c r="AW59" s="35" t="n">
        <f aca="false">Y59+AK59</f>
        <v>7</v>
      </c>
      <c r="AX59" s="35" t="n">
        <f aca="false">Z59+AL59</f>
        <v>23</v>
      </c>
      <c r="AY59" s="35" t="n">
        <f aca="false">AA59+AM59</f>
        <v>10</v>
      </c>
      <c r="AZ59" s="36" t="n">
        <f aca="false">AO59</f>
        <v>10</v>
      </c>
      <c r="BA59" s="36" t="n">
        <f aca="false">SUM(AN59:AO59)</f>
        <v>31</v>
      </c>
      <c r="BB59" s="36" t="n">
        <f aca="false">S59+AE59</f>
        <v>21</v>
      </c>
      <c r="BC59" s="36" t="n">
        <f aca="false">SUM(AP59:AQ59)</f>
        <v>75</v>
      </c>
      <c r="BD59" s="36" t="n">
        <f aca="false">U59+AG59</f>
        <v>9</v>
      </c>
      <c r="BE59" s="36" t="n">
        <f aca="false">SUM(AR59:AS59)</f>
        <v>27</v>
      </c>
      <c r="BF59" s="36" t="n">
        <f aca="false">W59+AI59</f>
        <v>19</v>
      </c>
      <c r="BG59" s="36" t="n">
        <f aca="false">SUM(AT59:AU59)</f>
        <v>59</v>
      </c>
      <c r="BH59" s="36" t="n">
        <f aca="false">Y59+AK59</f>
        <v>7</v>
      </c>
      <c r="BI59" s="36" t="n">
        <f aca="false">SUM(AV59:AW59)</f>
        <v>23</v>
      </c>
      <c r="BJ59" s="36" t="n">
        <f aca="false">AA59+AM59</f>
        <v>10</v>
      </c>
      <c r="BK59" s="36" t="n">
        <f aca="false">SUM(AX59:AY59)</f>
        <v>33</v>
      </c>
      <c r="BL59" s="37" t="n">
        <f aca="false">BE59+BI59</f>
        <v>50</v>
      </c>
      <c r="BM59" s="37" t="n">
        <f aca="false">BG59+BK59</f>
        <v>92</v>
      </c>
      <c r="BN59" s="38" t="n">
        <f aca="false">BL59+BM59</f>
        <v>142</v>
      </c>
      <c r="BO59" s="39" t="n">
        <f aca="false">BN59/N59*100</f>
        <v>41.399416909621</v>
      </c>
      <c r="BP59" s="10" t="n">
        <v>28</v>
      </c>
      <c r="BQ59" s="10" t="n">
        <v>0</v>
      </c>
      <c r="BR59" s="10" t="n">
        <v>0</v>
      </c>
      <c r="BS59" s="10" t="n">
        <v>17</v>
      </c>
      <c r="BT59" s="10" t="n">
        <v>0</v>
      </c>
      <c r="BU59" s="10" t="n">
        <v>0</v>
      </c>
    </row>
    <row r="60" s="41" customFormat="true" ht="32.25" hidden="false" customHeight="true" outlineLevel="0" collapsed="false">
      <c r="A60" s="27" t="n">
        <v>5</v>
      </c>
      <c r="B60" s="28" t="s">
        <v>46</v>
      </c>
      <c r="C60" s="10" t="n">
        <v>2</v>
      </c>
      <c r="D60" s="10" t="n">
        <v>0</v>
      </c>
      <c r="E60" s="10" t="n">
        <v>2</v>
      </c>
      <c r="F60" s="10" t="n">
        <v>0</v>
      </c>
      <c r="G60" s="10" t="n">
        <v>0</v>
      </c>
      <c r="H60" s="29" t="n">
        <v>238</v>
      </c>
      <c r="I60" s="29" t="n">
        <v>239</v>
      </c>
      <c r="J60" s="30" t="n">
        <v>95</v>
      </c>
      <c r="K60" s="30" t="n">
        <v>114</v>
      </c>
      <c r="L60" s="30" t="n">
        <v>55</v>
      </c>
      <c r="M60" s="30" t="n">
        <v>67</v>
      </c>
      <c r="N60" s="31" t="n">
        <f aca="false">SUM(J60:M60)</f>
        <v>331</v>
      </c>
      <c r="O60" s="32" t="n">
        <v>0</v>
      </c>
      <c r="P60" s="33" t="n">
        <f aca="false">P38+Q38</f>
        <v>10</v>
      </c>
      <c r="Q60" s="43" t="n">
        <v>12</v>
      </c>
      <c r="R60" s="33" t="n">
        <f aca="false">R38+S38</f>
        <v>36</v>
      </c>
      <c r="S60" s="33" t="n">
        <v>15</v>
      </c>
      <c r="T60" s="33" t="n">
        <f aca="false">T38+U38</f>
        <v>25</v>
      </c>
      <c r="U60" s="34" t="n">
        <v>13</v>
      </c>
      <c r="V60" s="33" t="n">
        <f aca="false">V38+W38</f>
        <v>32</v>
      </c>
      <c r="W60" s="34" t="n">
        <v>10</v>
      </c>
      <c r="X60" s="33" t="n">
        <f aca="false">X38+Y38</f>
        <v>3</v>
      </c>
      <c r="Y60" s="34" t="n">
        <v>1</v>
      </c>
      <c r="Z60" s="33" t="n">
        <f aca="false">Z38+AA38</f>
        <v>7</v>
      </c>
      <c r="AA60" s="34" t="n">
        <v>2</v>
      </c>
      <c r="AB60" s="33" t="n">
        <f aca="false">AB38+AC38</f>
        <v>3</v>
      </c>
      <c r="AC60" s="43" t="n">
        <v>2</v>
      </c>
      <c r="AD60" s="33" t="n">
        <f aca="false">AD38+AE38</f>
        <v>26</v>
      </c>
      <c r="AE60" s="33" t="n">
        <v>4</v>
      </c>
      <c r="AF60" s="33" t="n">
        <f aca="false">AF38+AG38</f>
        <v>2</v>
      </c>
      <c r="AG60" s="34" t="n">
        <v>2</v>
      </c>
      <c r="AH60" s="33" t="n">
        <f aca="false">AH38+AI38</f>
        <v>22</v>
      </c>
      <c r="AI60" s="34" t="n">
        <v>2</v>
      </c>
      <c r="AJ60" s="33" t="n">
        <f aca="false">AJ38+AK38</f>
        <v>1</v>
      </c>
      <c r="AK60" s="34" t="n">
        <v>1</v>
      </c>
      <c r="AL60" s="33" t="n">
        <f aca="false">AL38+AM38</f>
        <v>4</v>
      </c>
      <c r="AM60" s="34" t="n">
        <v>1</v>
      </c>
      <c r="AN60" s="35" t="n">
        <f aca="false">P60+AB60</f>
        <v>13</v>
      </c>
      <c r="AO60" s="35" t="n">
        <f aca="false">Q60+AC60</f>
        <v>14</v>
      </c>
      <c r="AP60" s="35" t="n">
        <f aca="false">R60+AD60</f>
        <v>62</v>
      </c>
      <c r="AQ60" s="35" t="n">
        <f aca="false">S60+AE60</f>
        <v>19</v>
      </c>
      <c r="AR60" s="35" t="n">
        <f aca="false">T60+AF60</f>
        <v>27</v>
      </c>
      <c r="AS60" s="35" t="n">
        <f aca="false">U60+AG60</f>
        <v>15</v>
      </c>
      <c r="AT60" s="35" t="n">
        <f aca="false">V60+AH60</f>
        <v>54</v>
      </c>
      <c r="AU60" s="35" t="n">
        <f aca="false">W60+AI60</f>
        <v>12</v>
      </c>
      <c r="AV60" s="35" t="n">
        <f aca="false">X60+AJ60</f>
        <v>4</v>
      </c>
      <c r="AW60" s="35" t="n">
        <f aca="false">Y60+AK60</f>
        <v>2</v>
      </c>
      <c r="AX60" s="35" t="n">
        <f aca="false">Z60+AL60</f>
        <v>11</v>
      </c>
      <c r="AY60" s="35" t="n">
        <f aca="false">AA60+AM60</f>
        <v>3</v>
      </c>
      <c r="AZ60" s="36" t="n">
        <f aca="false">AO60</f>
        <v>14</v>
      </c>
      <c r="BA60" s="36" t="n">
        <f aca="false">SUM(AN60:AO60)</f>
        <v>27</v>
      </c>
      <c r="BB60" s="36" t="n">
        <f aca="false">S60+AE60</f>
        <v>19</v>
      </c>
      <c r="BC60" s="36" t="n">
        <f aca="false">SUM(AP60:AQ60)</f>
        <v>81</v>
      </c>
      <c r="BD60" s="36" t="n">
        <f aca="false">U60+AG60</f>
        <v>15</v>
      </c>
      <c r="BE60" s="36" t="n">
        <f aca="false">SUM(AR60:AS60)</f>
        <v>42</v>
      </c>
      <c r="BF60" s="36" t="n">
        <f aca="false">W60+AI60</f>
        <v>12</v>
      </c>
      <c r="BG60" s="36" t="n">
        <f aca="false">SUM(AT60:AU60)</f>
        <v>66</v>
      </c>
      <c r="BH60" s="36" t="n">
        <f aca="false">Y60+AK60</f>
        <v>2</v>
      </c>
      <c r="BI60" s="36" t="n">
        <f aca="false">SUM(AV60:AW60)</f>
        <v>6</v>
      </c>
      <c r="BJ60" s="36" t="n">
        <f aca="false">AA60+AM60</f>
        <v>3</v>
      </c>
      <c r="BK60" s="36" t="n">
        <f aca="false">SUM(AX60:AY60)</f>
        <v>14</v>
      </c>
      <c r="BL60" s="37" t="n">
        <f aca="false">BE60+BI60</f>
        <v>48</v>
      </c>
      <c r="BM60" s="37" t="n">
        <f aca="false">BG60+BK60</f>
        <v>80</v>
      </c>
      <c r="BN60" s="38" t="n">
        <f aca="false">BL60+BM60</f>
        <v>128</v>
      </c>
      <c r="BO60" s="39" t="n">
        <f aca="false">BN60/N60*100</f>
        <v>38.6706948640483</v>
      </c>
      <c r="BP60" s="10" t="n">
        <v>27</v>
      </c>
      <c r="BQ60" s="10" t="n">
        <v>0</v>
      </c>
      <c r="BR60" s="10" t="n">
        <v>0</v>
      </c>
      <c r="BS60" s="10" t="n">
        <v>5</v>
      </c>
      <c r="BT60" s="10" t="n">
        <v>0</v>
      </c>
      <c r="BU60" s="10" t="n">
        <v>0</v>
      </c>
    </row>
    <row r="61" s="41" customFormat="true" ht="32.25" hidden="false" customHeight="true" outlineLevel="0" collapsed="false">
      <c r="A61" s="27" t="n">
        <v>5</v>
      </c>
      <c r="B61" s="28" t="s">
        <v>47</v>
      </c>
      <c r="C61" s="10" t="n">
        <v>3</v>
      </c>
      <c r="D61" s="10" t="n">
        <v>0</v>
      </c>
      <c r="E61" s="10" t="n">
        <v>3</v>
      </c>
      <c r="F61" s="10" t="n">
        <v>0</v>
      </c>
      <c r="G61" s="10" t="n">
        <v>0</v>
      </c>
      <c r="H61" s="29" t="n">
        <v>302</v>
      </c>
      <c r="I61" s="29" t="n">
        <v>303</v>
      </c>
      <c r="J61" s="30" t="n">
        <v>155</v>
      </c>
      <c r="K61" s="30" t="n">
        <v>110</v>
      </c>
      <c r="L61" s="30" t="n">
        <v>75</v>
      </c>
      <c r="M61" s="30" t="n">
        <v>80</v>
      </c>
      <c r="N61" s="31" t="n">
        <f aca="false">SUM(J61:M61)</f>
        <v>420</v>
      </c>
      <c r="O61" s="32" t="n">
        <v>0</v>
      </c>
      <c r="P61" s="33" t="n">
        <f aca="false">P39+Q39</f>
        <v>20</v>
      </c>
      <c r="Q61" s="33" t="n">
        <v>15</v>
      </c>
      <c r="R61" s="33" t="n">
        <f aca="false">R39+S39</f>
        <v>44</v>
      </c>
      <c r="S61" s="33" t="n">
        <v>22</v>
      </c>
      <c r="T61" s="33" t="n">
        <f aca="false">T39+U39</f>
        <v>13</v>
      </c>
      <c r="U61" s="34" t="n">
        <v>4</v>
      </c>
      <c r="V61" s="33" t="n">
        <f aca="false">V39+W39</f>
        <v>14</v>
      </c>
      <c r="W61" s="34" t="n">
        <v>3</v>
      </c>
      <c r="X61" s="33" t="n">
        <f aca="false">X39+Y39</f>
        <v>6</v>
      </c>
      <c r="Y61" s="34" t="n">
        <v>1</v>
      </c>
      <c r="Z61" s="33" t="n">
        <f aca="false">Z39+AA39</f>
        <v>13</v>
      </c>
      <c r="AA61" s="34" t="n">
        <v>3</v>
      </c>
      <c r="AB61" s="33" t="n">
        <f aca="false">AB39+AC39</f>
        <v>12</v>
      </c>
      <c r="AC61" s="33" t="n">
        <v>3</v>
      </c>
      <c r="AD61" s="33" t="n">
        <f aca="false">AD39+AE39</f>
        <v>16</v>
      </c>
      <c r="AE61" s="33" t="n">
        <v>3</v>
      </c>
      <c r="AF61" s="33" t="n">
        <f aca="false">AF39+AG39</f>
        <v>3</v>
      </c>
      <c r="AG61" s="34" t="n">
        <v>2</v>
      </c>
      <c r="AH61" s="33" t="n">
        <f aca="false">AH39+AI39</f>
        <v>7</v>
      </c>
      <c r="AI61" s="34" t="n">
        <v>2</v>
      </c>
      <c r="AJ61" s="33" t="n">
        <f aca="false">AJ39+AK39</f>
        <v>3</v>
      </c>
      <c r="AK61" s="34" t="n">
        <v>1</v>
      </c>
      <c r="AL61" s="33" t="n">
        <f aca="false">AL39+AM39</f>
        <v>4</v>
      </c>
      <c r="AM61" s="34" t="n">
        <v>1</v>
      </c>
      <c r="AN61" s="35" t="n">
        <f aca="false">P61+AB61</f>
        <v>32</v>
      </c>
      <c r="AO61" s="35" t="n">
        <f aca="false">Q61+AC61</f>
        <v>18</v>
      </c>
      <c r="AP61" s="35" t="n">
        <f aca="false">R61+AD61</f>
        <v>60</v>
      </c>
      <c r="AQ61" s="35" t="n">
        <f aca="false">S61+AE61</f>
        <v>25</v>
      </c>
      <c r="AR61" s="35" t="n">
        <f aca="false">T61+AF61</f>
        <v>16</v>
      </c>
      <c r="AS61" s="35" t="n">
        <f aca="false">U61+AG61</f>
        <v>6</v>
      </c>
      <c r="AT61" s="35" t="n">
        <f aca="false">V61+AH61</f>
        <v>21</v>
      </c>
      <c r="AU61" s="35" t="n">
        <f aca="false">W61+AI61</f>
        <v>5</v>
      </c>
      <c r="AV61" s="35" t="n">
        <f aca="false">X61+AJ61</f>
        <v>9</v>
      </c>
      <c r="AW61" s="35" t="n">
        <f aca="false">Y61+AK61</f>
        <v>2</v>
      </c>
      <c r="AX61" s="35" t="n">
        <f aca="false">Z61+AL61</f>
        <v>17</v>
      </c>
      <c r="AY61" s="35" t="n">
        <f aca="false">AA61+AM61</f>
        <v>4</v>
      </c>
      <c r="AZ61" s="36" t="n">
        <f aca="false">AO61</f>
        <v>18</v>
      </c>
      <c r="BA61" s="36" t="n">
        <f aca="false">SUM(AN61:AO61)</f>
        <v>50</v>
      </c>
      <c r="BB61" s="36" t="n">
        <f aca="false">S61+AE61</f>
        <v>25</v>
      </c>
      <c r="BC61" s="36" t="n">
        <f aca="false">SUM(AP61:AQ61)</f>
        <v>85</v>
      </c>
      <c r="BD61" s="36" t="n">
        <f aca="false">U61+AG61</f>
        <v>6</v>
      </c>
      <c r="BE61" s="36" t="n">
        <f aca="false">SUM(AR61:AS61)</f>
        <v>22</v>
      </c>
      <c r="BF61" s="36" t="n">
        <f aca="false">W61+AI61</f>
        <v>5</v>
      </c>
      <c r="BG61" s="36" t="n">
        <f aca="false">SUM(AT61:AU61)</f>
        <v>26</v>
      </c>
      <c r="BH61" s="36" t="n">
        <f aca="false">Y61+AK61</f>
        <v>2</v>
      </c>
      <c r="BI61" s="36" t="n">
        <f aca="false">SUM(AV61:AW61)</f>
        <v>11</v>
      </c>
      <c r="BJ61" s="36" t="n">
        <f aca="false">AA61+AM61</f>
        <v>4</v>
      </c>
      <c r="BK61" s="36" t="n">
        <f aca="false">SUM(AX61:AY61)</f>
        <v>21</v>
      </c>
      <c r="BL61" s="37" t="n">
        <f aca="false">BE61+BI61</f>
        <v>33</v>
      </c>
      <c r="BM61" s="37" t="n">
        <f aca="false">BG61+BK61</f>
        <v>47</v>
      </c>
      <c r="BN61" s="38" t="n">
        <f aca="false">BL61+BM61</f>
        <v>80</v>
      </c>
      <c r="BO61" s="39" t="n">
        <f aca="false">BN61/N61*100</f>
        <v>19.047619047619</v>
      </c>
      <c r="BP61" s="10" t="n">
        <v>10</v>
      </c>
      <c r="BQ61" s="10" t="n">
        <v>1</v>
      </c>
      <c r="BR61" s="10" t="n">
        <v>0</v>
      </c>
      <c r="BS61" s="10" t="n">
        <v>6</v>
      </c>
      <c r="BT61" s="10" t="n">
        <v>0</v>
      </c>
      <c r="BU61" s="10" t="n">
        <v>0</v>
      </c>
    </row>
    <row r="62" s="46" customFormat="true" ht="36.75" hidden="false" customHeight="true" outlineLevel="0" collapsed="false">
      <c r="A62" s="15" t="s">
        <v>48</v>
      </c>
      <c r="B62" s="15"/>
      <c r="C62" s="21" t="n">
        <f aca="false">SUM(C56:C61)</f>
        <v>15</v>
      </c>
      <c r="D62" s="21" t="n">
        <f aca="false">SUM(D56:D61)</f>
        <v>0</v>
      </c>
      <c r="E62" s="21" t="n">
        <f aca="false">SUM(E56:E61)</f>
        <v>15</v>
      </c>
      <c r="F62" s="21" t="n">
        <f aca="false">SUM(F56:F61)</f>
        <v>0</v>
      </c>
      <c r="G62" s="21" t="n">
        <f aca="false">SUM(G56:G61)</f>
        <v>0</v>
      </c>
      <c r="H62" s="31" t="n">
        <f aca="false">SUM(H56:H61)</f>
        <v>1548</v>
      </c>
      <c r="I62" s="31" t="n">
        <f aca="false">SUM(I56:I61)</f>
        <v>1604</v>
      </c>
      <c r="J62" s="31" t="n">
        <f aca="false">SUM(J56:J61)</f>
        <v>765</v>
      </c>
      <c r="K62" s="31" t="n">
        <f aca="false">SUM(K56:K61)</f>
        <v>814</v>
      </c>
      <c r="L62" s="31" t="n">
        <f aca="false">SUM(L56:L61)</f>
        <v>440</v>
      </c>
      <c r="M62" s="31" t="n">
        <f aca="false">SUM(M56:M61)</f>
        <v>480</v>
      </c>
      <c r="N62" s="31" t="n">
        <f aca="false">SUM(J62:M62)</f>
        <v>2499</v>
      </c>
      <c r="O62" s="31" t="n">
        <v>1506</v>
      </c>
      <c r="P62" s="21" t="n">
        <f aca="false">SUM(P56:P61)</f>
        <v>108</v>
      </c>
      <c r="Q62" s="21" t="n">
        <f aca="false">SUM(Q56:Q61)</f>
        <v>70</v>
      </c>
      <c r="R62" s="21" t="n">
        <f aca="false">SUM(R56:R61)</f>
        <v>330</v>
      </c>
      <c r="S62" s="21" t="n">
        <f aca="false">SUM(S56:S61)</f>
        <v>161</v>
      </c>
      <c r="T62" s="21" t="n">
        <f aca="false">SUM(T56:T61)</f>
        <v>131</v>
      </c>
      <c r="U62" s="44" t="n">
        <f aca="false">SUM(U56:U61)</f>
        <v>36</v>
      </c>
      <c r="V62" s="44" t="n">
        <f aca="false">SUM(V56:V61)</f>
        <v>178</v>
      </c>
      <c r="W62" s="44" t="n">
        <f aca="false">SUM(W56:W61)</f>
        <v>49</v>
      </c>
      <c r="X62" s="44" t="n">
        <f aca="false">SUM(X56:X61)</f>
        <v>80</v>
      </c>
      <c r="Y62" s="44" t="n">
        <f aca="false">SUM(Y56:Y61)</f>
        <v>21</v>
      </c>
      <c r="Z62" s="44" t="n">
        <f aca="false">SUM(Z56:Z61)</f>
        <v>94</v>
      </c>
      <c r="AA62" s="44" t="n">
        <f aca="false">SUM(AA56:AA61)</f>
        <v>23</v>
      </c>
      <c r="AB62" s="21" t="n">
        <f aca="false">SUM(AB56:AB61)</f>
        <v>46</v>
      </c>
      <c r="AC62" s="21" t="n">
        <f aca="false">SUM(AC56:AC61)</f>
        <v>19</v>
      </c>
      <c r="AD62" s="21" t="n">
        <f aca="false">SUM(AD56:AD61)</f>
        <v>95</v>
      </c>
      <c r="AE62" s="21" t="n">
        <f aca="false">SUM(AE56:AE61)</f>
        <v>25</v>
      </c>
      <c r="AF62" s="44" t="n">
        <f aca="false">SUM(AF56:AF61)</f>
        <v>43</v>
      </c>
      <c r="AG62" s="44" t="n">
        <f aca="false">SUM(AG56:AG61)</f>
        <v>21</v>
      </c>
      <c r="AH62" s="44" t="n">
        <f aca="false">SUM(AH56:AH61)</f>
        <v>85</v>
      </c>
      <c r="AI62" s="44" t="n">
        <f aca="false">SUM(AI56:AI61)</f>
        <v>23</v>
      </c>
      <c r="AJ62" s="44" t="n">
        <f aca="false">SUM(AJ56:AJ61)</f>
        <v>19</v>
      </c>
      <c r="AK62" s="44" t="n">
        <f aca="false">SUM(AK56:AK61)</f>
        <v>11</v>
      </c>
      <c r="AL62" s="44" t="n">
        <f aca="false">SUM(AL56:AL61)</f>
        <v>34</v>
      </c>
      <c r="AM62" s="44" t="n">
        <f aca="false">SUM(AM56:AM61)</f>
        <v>15</v>
      </c>
      <c r="AN62" s="21" t="n">
        <f aca="false">SUM(AN56:AN61)</f>
        <v>154</v>
      </c>
      <c r="AO62" s="21" t="n">
        <f aca="false">SUM(AO56:AO61)</f>
        <v>89</v>
      </c>
      <c r="AP62" s="21" t="n">
        <f aca="false">SUM(AP56:AP61)</f>
        <v>425</v>
      </c>
      <c r="AQ62" s="21" t="n">
        <f aca="false">SUM(AQ56:AQ61)</f>
        <v>186</v>
      </c>
      <c r="AR62" s="44" t="n">
        <f aca="false">SUM(AR56:AR61)</f>
        <v>174</v>
      </c>
      <c r="AS62" s="44" t="n">
        <f aca="false">SUM(AS56:AS61)</f>
        <v>57</v>
      </c>
      <c r="AT62" s="44" t="n">
        <f aca="false">SUM(AT56:AT61)</f>
        <v>263</v>
      </c>
      <c r="AU62" s="44" t="n">
        <f aca="false">SUM(AU56:AU61)</f>
        <v>72</v>
      </c>
      <c r="AV62" s="44" t="n">
        <f aca="false">SUM(AV56:AV61)</f>
        <v>99</v>
      </c>
      <c r="AW62" s="44" t="n">
        <f aca="false">SUM(AW56:AW61)</f>
        <v>32</v>
      </c>
      <c r="AX62" s="44" t="n">
        <f aca="false">SUM(AX56:AX61)</f>
        <v>128</v>
      </c>
      <c r="AY62" s="44" t="n">
        <f aca="false">SUM(AY56:AY61)</f>
        <v>38</v>
      </c>
      <c r="AZ62" s="21" t="n">
        <f aca="false">SUM(AZ56:AZ61)</f>
        <v>89</v>
      </c>
      <c r="BA62" s="21" t="n">
        <f aca="false">SUM(BA56:BA61)</f>
        <v>243</v>
      </c>
      <c r="BB62" s="21" t="n">
        <f aca="false">SUM(BB56:BB61)</f>
        <v>186</v>
      </c>
      <c r="BC62" s="21" t="n">
        <f aca="false">SUM(BC56:BC61)</f>
        <v>611</v>
      </c>
      <c r="BD62" s="21" t="n">
        <f aca="false">SUM(BD56:BD61)</f>
        <v>57</v>
      </c>
      <c r="BE62" s="21" t="n">
        <f aca="false">SUM(BE56:BE61)</f>
        <v>231</v>
      </c>
      <c r="BF62" s="21" t="n">
        <f aca="false">SUM(BF56:BF61)</f>
        <v>72</v>
      </c>
      <c r="BG62" s="21" t="n">
        <f aca="false">SUM(BG56:BG61)</f>
        <v>335</v>
      </c>
      <c r="BH62" s="21" t="n">
        <f aca="false">SUM(BH56:BH61)</f>
        <v>32</v>
      </c>
      <c r="BI62" s="21" t="n">
        <f aca="false">SUM(BI56:BI61)</f>
        <v>131</v>
      </c>
      <c r="BJ62" s="21" t="n">
        <f aca="false">SUM(BJ56:BJ61)</f>
        <v>38</v>
      </c>
      <c r="BK62" s="21" t="n">
        <f aca="false">SUM(BK56:BK61)</f>
        <v>166</v>
      </c>
      <c r="BL62" s="21" t="n">
        <f aca="false">SUM(BL56:BL61)</f>
        <v>362</v>
      </c>
      <c r="BM62" s="21" t="n">
        <f aca="false">SUM(BM56:BM61)</f>
        <v>501</v>
      </c>
      <c r="BN62" s="45" t="n">
        <f aca="false">SUM(BN56:BN61)</f>
        <v>863</v>
      </c>
      <c r="BO62" s="45" t="n">
        <f aca="false">BN62/N62*100</f>
        <v>34.5338135254102</v>
      </c>
      <c r="BP62" s="21" t="n">
        <f aca="false">SUM(BP56:BP61)</f>
        <v>128</v>
      </c>
      <c r="BQ62" s="21" t="n">
        <f aca="false">SUM(BQ56:BQ61)</f>
        <v>1</v>
      </c>
      <c r="BR62" s="21" t="n">
        <f aca="false">SUM(BR56:BR61)</f>
        <v>0</v>
      </c>
      <c r="BS62" s="21" t="n">
        <f aca="false">SUM(BS56:BS61)</f>
        <v>70</v>
      </c>
      <c r="BT62" s="21" t="n">
        <f aca="false">SUM(BT56:BT61)</f>
        <v>0</v>
      </c>
      <c r="BU62" s="21" t="n">
        <f aca="false">SUM(BU56:BU61)</f>
        <v>0</v>
      </c>
    </row>
    <row r="63" customFormat="false" ht="15.75" hidden="false" customHeight="false" outlineLevel="0" collapsed="false"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</row>
    <row r="64" customFormat="false" ht="15.75" hidden="false" customHeight="false" outlineLevel="0" collapsed="false"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</row>
    <row r="65" customFormat="false" ht="15.75" hidden="false" customHeight="false" outlineLevel="0" collapsed="false"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</row>
    <row r="66" customFormat="false" ht="15.75" hidden="false" customHeight="false" outlineLevel="0" collapsed="false"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</row>
    <row r="67" customFormat="false" ht="15.75" hidden="false" customHeight="false" outlineLevel="0" collapsed="false">
      <c r="A67" s="2" t="s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</row>
    <row r="69" customFormat="false" ht="15.75" hidden="false" customHeight="false" outlineLevel="0" collapsed="false">
      <c r="A69" s="3" t="s">
        <v>1</v>
      </c>
      <c r="B69" s="4"/>
      <c r="C69" s="4" t="s">
        <v>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</row>
    <row r="70" customFormat="false" ht="15.75" hidden="false" customHeight="false" outlineLevel="0" collapsed="false">
      <c r="A70" s="3" t="s">
        <v>3</v>
      </c>
      <c r="B70" s="4"/>
      <c r="C70" s="4" t="s">
        <v>4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</row>
    <row r="71" customFormat="false" ht="15.75" hidden="false" customHeight="false" outlineLevel="0" collapsed="false">
      <c r="A71" s="3" t="s">
        <v>5</v>
      </c>
      <c r="B71" s="4"/>
      <c r="C71" s="4" t="s">
        <v>54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</row>
    <row r="72" customFormat="false" ht="15.75" hidden="false" customHeight="false" outlineLevel="0" collapsed="false">
      <c r="A72" s="4"/>
      <c r="B72" s="4"/>
      <c r="C72" s="4"/>
      <c r="D72" s="4"/>
      <c r="E72" s="4"/>
      <c r="F72" s="4"/>
      <c r="G72" s="4"/>
      <c r="H72" s="5"/>
      <c r="I72" s="5"/>
      <c r="J72" s="5"/>
      <c r="K72" s="5"/>
      <c r="L72" s="5"/>
      <c r="M72" s="5"/>
      <c r="N72" s="5"/>
      <c r="O72" s="5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</row>
    <row r="73" customFormat="false" ht="33.75" hidden="false" customHeight="true" outlineLevel="0" collapsed="false">
      <c r="A73" s="7" t="s">
        <v>7</v>
      </c>
      <c r="B73" s="8" t="s">
        <v>8</v>
      </c>
      <c r="C73" s="8" t="s">
        <v>9</v>
      </c>
      <c r="D73" s="9" t="s">
        <v>10</v>
      </c>
      <c r="E73" s="9" t="s">
        <v>11</v>
      </c>
      <c r="F73" s="9" t="s">
        <v>12</v>
      </c>
      <c r="G73" s="9" t="s">
        <v>13</v>
      </c>
      <c r="H73" s="10" t="s">
        <v>14</v>
      </c>
      <c r="I73" s="10"/>
      <c r="J73" s="10"/>
      <c r="K73" s="10"/>
      <c r="L73" s="10"/>
      <c r="M73" s="11"/>
      <c r="N73" s="11"/>
      <c r="O73" s="8" t="s">
        <v>15</v>
      </c>
      <c r="P73" s="11" t="s">
        <v>16</v>
      </c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0" t="s">
        <v>17</v>
      </c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7" t="s">
        <v>18</v>
      </c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 t="s">
        <v>19</v>
      </c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8" t="s">
        <v>20</v>
      </c>
      <c r="BM73" s="8"/>
      <c r="BN73" s="8"/>
      <c r="BO73" s="8"/>
      <c r="BP73" s="7" t="s">
        <v>21</v>
      </c>
      <c r="BQ73" s="7"/>
      <c r="BR73" s="7"/>
      <c r="BS73" s="7" t="s">
        <v>21</v>
      </c>
      <c r="BT73" s="7"/>
      <c r="BU73" s="7"/>
    </row>
    <row r="74" customFormat="false" ht="44.25" hidden="false" customHeight="true" outlineLevel="0" collapsed="false">
      <c r="A74" s="7"/>
      <c r="B74" s="8"/>
      <c r="C74" s="8"/>
      <c r="D74" s="9"/>
      <c r="E74" s="9"/>
      <c r="F74" s="9"/>
      <c r="G74" s="9"/>
      <c r="H74" s="7" t="s">
        <v>22</v>
      </c>
      <c r="I74" s="7"/>
      <c r="J74" s="7" t="s">
        <v>23</v>
      </c>
      <c r="K74" s="7"/>
      <c r="L74" s="7" t="s">
        <v>24</v>
      </c>
      <c r="M74" s="7"/>
      <c r="N74" s="12" t="s">
        <v>25</v>
      </c>
      <c r="O74" s="8"/>
      <c r="P74" s="11" t="s">
        <v>22</v>
      </c>
      <c r="Q74" s="11"/>
      <c r="R74" s="11"/>
      <c r="S74" s="11"/>
      <c r="T74" s="10" t="s">
        <v>23</v>
      </c>
      <c r="U74" s="10"/>
      <c r="V74" s="10"/>
      <c r="W74" s="10"/>
      <c r="X74" s="10" t="s">
        <v>24</v>
      </c>
      <c r="Y74" s="10"/>
      <c r="Z74" s="10"/>
      <c r="AA74" s="10"/>
      <c r="AB74" s="10" t="s">
        <v>22</v>
      </c>
      <c r="AC74" s="10"/>
      <c r="AD74" s="10"/>
      <c r="AE74" s="10"/>
      <c r="AF74" s="10" t="s">
        <v>23</v>
      </c>
      <c r="AG74" s="10"/>
      <c r="AH74" s="10"/>
      <c r="AI74" s="10"/>
      <c r="AJ74" s="10" t="s">
        <v>24</v>
      </c>
      <c r="AK74" s="10"/>
      <c r="AL74" s="10"/>
      <c r="AM74" s="10"/>
      <c r="AN74" s="7" t="s">
        <v>22</v>
      </c>
      <c r="AO74" s="7"/>
      <c r="AP74" s="7"/>
      <c r="AQ74" s="7"/>
      <c r="AR74" s="7" t="s">
        <v>23</v>
      </c>
      <c r="AS74" s="7"/>
      <c r="AT74" s="7"/>
      <c r="AU74" s="7"/>
      <c r="AV74" s="7" t="s">
        <v>24</v>
      </c>
      <c r="AW74" s="7"/>
      <c r="AX74" s="7"/>
      <c r="AY74" s="7"/>
      <c r="AZ74" s="7" t="s">
        <v>22</v>
      </c>
      <c r="BA74" s="7"/>
      <c r="BB74" s="7"/>
      <c r="BC74" s="7"/>
      <c r="BD74" s="7" t="s">
        <v>23</v>
      </c>
      <c r="BE74" s="7"/>
      <c r="BF74" s="7"/>
      <c r="BG74" s="7"/>
      <c r="BH74" s="7" t="s">
        <v>24</v>
      </c>
      <c r="BI74" s="7"/>
      <c r="BJ74" s="7"/>
      <c r="BK74" s="7"/>
      <c r="BL74" s="7" t="s">
        <v>26</v>
      </c>
      <c r="BM74" s="7"/>
      <c r="BN74" s="7"/>
      <c r="BO74" s="7"/>
      <c r="BP74" s="7" t="s">
        <v>27</v>
      </c>
      <c r="BQ74" s="7"/>
      <c r="BR74" s="7"/>
      <c r="BS74" s="7" t="s">
        <v>28</v>
      </c>
      <c r="BT74" s="7"/>
      <c r="BU74" s="7"/>
    </row>
    <row r="75" customFormat="false" ht="27" hidden="false" customHeight="true" outlineLevel="0" collapsed="false">
      <c r="A75" s="7"/>
      <c r="B75" s="8"/>
      <c r="C75" s="8"/>
      <c r="D75" s="9"/>
      <c r="E75" s="9"/>
      <c r="F75" s="9"/>
      <c r="G75" s="9"/>
      <c r="H75" s="7" t="s">
        <v>29</v>
      </c>
      <c r="I75" s="7" t="s">
        <v>30</v>
      </c>
      <c r="J75" s="7" t="s">
        <v>29</v>
      </c>
      <c r="K75" s="7" t="s">
        <v>30</v>
      </c>
      <c r="L75" s="7" t="s">
        <v>29</v>
      </c>
      <c r="M75" s="7" t="s">
        <v>30</v>
      </c>
      <c r="N75" s="12"/>
      <c r="O75" s="8"/>
      <c r="P75" s="11" t="s">
        <v>29</v>
      </c>
      <c r="Q75" s="11"/>
      <c r="R75" s="10" t="s">
        <v>30</v>
      </c>
      <c r="S75" s="10"/>
      <c r="T75" s="10" t="s">
        <v>29</v>
      </c>
      <c r="U75" s="10"/>
      <c r="V75" s="10" t="s">
        <v>30</v>
      </c>
      <c r="W75" s="10"/>
      <c r="X75" s="10" t="s">
        <v>29</v>
      </c>
      <c r="Y75" s="10"/>
      <c r="Z75" s="10" t="s">
        <v>30</v>
      </c>
      <c r="AA75" s="10"/>
      <c r="AB75" s="10" t="s">
        <v>29</v>
      </c>
      <c r="AC75" s="10"/>
      <c r="AD75" s="10" t="s">
        <v>30</v>
      </c>
      <c r="AE75" s="10"/>
      <c r="AF75" s="10" t="s">
        <v>29</v>
      </c>
      <c r="AG75" s="10"/>
      <c r="AH75" s="10" t="s">
        <v>30</v>
      </c>
      <c r="AI75" s="10"/>
      <c r="AJ75" s="10" t="s">
        <v>29</v>
      </c>
      <c r="AK75" s="10"/>
      <c r="AL75" s="10" t="s">
        <v>30</v>
      </c>
      <c r="AM75" s="10"/>
      <c r="AN75" s="13" t="s">
        <v>29</v>
      </c>
      <c r="AO75" s="13"/>
      <c r="AP75" s="13" t="s">
        <v>30</v>
      </c>
      <c r="AQ75" s="13"/>
      <c r="AR75" s="13" t="s">
        <v>29</v>
      </c>
      <c r="AS75" s="13"/>
      <c r="AT75" s="13" t="s">
        <v>30</v>
      </c>
      <c r="AU75" s="13"/>
      <c r="AV75" s="13" t="s">
        <v>29</v>
      </c>
      <c r="AW75" s="13"/>
      <c r="AX75" s="13" t="s">
        <v>30</v>
      </c>
      <c r="AY75" s="13"/>
      <c r="AZ75" s="14" t="s">
        <v>29</v>
      </c>
      <c r="BA75" s="14"/>
      <c r="BB75" s="14" t="s">
        <v>30</v>
      </c>
      <c r="BC75" s="14"/>
      <c r="BD75" s="14" t="s">
        <v>29</v>
      </c>
      <c r="BE75" s="14"/>
      <c r="BF75" s="14" t="s">
        <v>30</v>
      </c>
      <c r="BG75" s="14"/>
      <c r="BH75" s="14" t="s">
        <v>29</v>
      </c>
      <c r="BI75" s="14"/>
      <c r="BJ75" s="14" t="s">
        <v>30</v>
      </c>
      <c r="BK75" s="14"/>
      <c r="BL75" s="15" t="s">
        <v>29</v>
      </c>
      <c r="BM75" s="15" t="s">
        <v>30</v>
      </c>
      <c r="BN75" s="15" t="s">
        <v>31</v>
      </c>
      <c r="BO75" s="15" t="s">
        <v>32</v>
      </c>
      <c r="BP75" s="7" t="s">
        <v>33</v>
      </c>
      <c r="BQ75" s="7" t="s">
        <v>34</v>
      </c>
      <c r="BR75" s="7" t="s">
        <v>35</v>
      </c>
      <c r="BS75" s="7" t="s">
        <v>33</v>
      </c>
      <c r="BT75" s="7" t="s">
        <v>34</v>
      </c>
      <c r="BU75" s="7" t="s">
        <v>35</v>
      </c>
    </row>
    <row r="76" customFormat="false" ht="85.5" hidden="false" customHeight="true" outlineLevel="0" collapsed="false">
      <c r="A76" s="7"/>
      <c r="B76" s="8"/>
      <c r="C76" s="8"/>
      <c r="D76" s="9"/>
      <c r="E76" s="9"/>
      <c r="F76" s="9"/>
      <c r="G76" s="9"/>
      <c r="H76" s="7"/>
      <c r="I76" s="7"/>
      <c r="J76" s="7"/>
      <c r="K76" s="7"/>
      <c r="L76" s="7"/>
      <c r="M76" s="7"/>
      <c r="N76" s="12"/>
      <c r="O76" s="8"/>
      <c r="P76" s="16" t="s">
        <v>36</v>
      </c>
      <c r="Q76" s="17" t="s">
        <v>37</v>
      </c>
      <c r="R76" s="17" t="s">
        <v>36</v>
      </c>
      <c r="S76" s="17" t="s">
        <v>37</v>
      </c>
      <c r="T76" s="17" t="s">
        <v>36</v>
      </c>
      <c r="U76" s="17" t="s">
        <v>37</v>
      </c>
      <c r="V76" s="17" t="s">
        <v>36</v>
      </c>
      <c r="W76" s="17" t="s">
        <v>37</v>
      </c>
      <c r="X76" s="17" t="s">
        <v>36</v>
      </c>
      <c r="Y76" s="17" t="s">
        <v>37</v>
      </c>
      <c r="Z76" s="17" t="s">
        <v>36</v>
      </c>
      <c r="AA76" s="17" t="s">
        <v>37</v>
      </c>
      <c r="AB76" s="17" t="s">
        <v>36</v>
      </c>
      <c r="AC76" s="17" t="s">
        <v>37</v>
      </c>
      <c r="AD76" s="17" t="s">
        <v>36</v>
      </c>
      <c r="AE76" s="17" t="s">
        <v>37</v>
      </c>
      <c r="AF76" s="17" t="s">
        <v>36</v>
      </c>
      <c r="AG76" s="17" t="s">
        <v>37</v>
      </c>
      <c r="AH76" s="17" t="s">
        <v>36</v>
      </c>
      <c r="AI76" s="17" t="s">
        <v>37</v>
      </c>
      <c r="AJ76" s="17" t="s">
        <v>36</v>
      </c>
      <c r="AK76" s="17" t="s">
        <v>37</v>
      </c>
      <c r="AL76" s="17" t="s">
        <v>36</v>
      </c>
      <c r="AM76" s="17" t="s">
        <v>37</v>
      </c>
      <c r="AN76" s="18" t="s">
        <v>38</v>
      </c>
      <c r="AO76" s="18" t="s">
        <v>39</v>
      </c>
      <c r="AP76" s="18" t="s">
        <v>38</v>
      </c>
      <c r="AQ76" s="18" t="s">
        <v>39</v>
      </c>
      <c r="AR76" s="18" t="s">
        <v>38</v>
      </c>
      <c r="AS76" s="18" t="s">
        <v>39</v>
      </c>
      <c r="AT76" s="18" t="s">
        <v>38</v>
      </c>
      <c r="AU76" s="18" t="s">
        <v>39</v>
      </c>
      <c r="AV76" s="18" t="s">
        <v>38</v>
      </c>
      <c r="AW76" s="18" t="s">
        <v>39</v>
      </c>
      <c r="AX76" s="18" t="s">
        <v>38</v>
      </c>
      <c r="AY76" s="18" t="s">
        <v>39</v>
      </c>
      <c r="AZ76" s="19" t="s">
        <v>40</v>
      </c>
      <c r="BA76" s="20" t="s">
        <v>41</v>
      </c>
      <c r="BB76" s="19" t="s">
        <v>40</v>
      </c>
      <c r="BC76" s="20" t="s">
        <v>41</v>
      </c>
      <c r="BD76" s="19" t="s">
        <v>40</v>
      </c>
      <c r="BE76" s="20" t="s">
        <v>41</v>
      </c>
      <c r="BF76" s="19" t="s">
        <v>40</v>
      </c>
      <c r="BG76" s="20" t="s">
        <v>41</v>
      </c>
      <c r="BH76" s="19" t="s">
        <v>40</v>
      </c>
      <c r="BI76" s="20" t="s">
        <v>41</v>
      </c>
      <c r="BJ76" s="19" t="s">
        <v>40</v>
      </c>
      <c r="BK76" s="20" t="s">
        <v>41</v>
      </c>
      <c r="BL76" s="21" t="s">
        <v>41</v>
      </c>
      <c r="BM76" s="21" t="s">
        <v>41</v>
      </c>
      <c r="BN76" s="15"/>
      <c r="BO76" s="15"/>
      <c r="BP76" s="7"/>
      <c r="BQ76" s="7"/>
      <c r="BR76" s="7"/>
      <c r="BS76" s="7"/>
      <c r="BT76" s="7"/>
      <c r="BU76" s="7"/>
    </row>
    <row r="77" customFormat="false" ht="13.5" hidden="false" customHeight="true" outlineLevel="0" collapsed="false">
      <c r="A77" s="22" t="n">
        <v>1</v>
      </c>
      <c r="B77" s="23" t="n">
        <v>2</v>
      </c>
      <c r="C77" s="23" t="n">
        <f aca="false">+B77+1</f>
        <v>3</v>
      </c>
      <c r="D77" s="23" t="n">
        <v>4</v>
      </c>
      <c r="E77" s="23" t="n">
        <v>5</v>
      </c>
      <c r="F77" s="23" t="n">
        <v>6</v>
      </c>
      <c r="G77" s="23" t="n">
        <v>7</v>
      </c>
      <c r="H77" s="24" t="n">
        <v>8</v>
      </c>
      <c r="I77" s="24"/>
      <c r="J77" s="24"/>
      <c r="K77" s="24"/>
      <c r="L77" s="24"/>
      <c r="M77" s="24"/>
      <c r="N77" s="25" t="n">
        <v>9</v>
      </c>
      <c r="O77" s="24" t="n">
        <v>10</v>
      </c>
      <c r="P77" s="24" t="n">
        <v>11</v>
      </c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3" t="n">
        <v>12</v>
      </c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13" t="n">
        <v>13</v>
      </c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4" t="n">
        <v>14</v>
      </c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5" t="n">
        <v>15</v>
      </c>
      <c r="BM77" s="15"/>
      <c r="BN77" s="15"/>
      <c r="BO77" s="15"/>
      <c r="BP77" s="24" t="n">
        <v>16</v>
      </c>
      <c r="BQ77" s="24"/>
      <c r="BR77" s="24"/>
      <c r="BS77" s="24" t="n">
        <v>17</v>
      </c>
      <c r="BT77" s="24"/>
      <c r="BU77" s="24"/>
    </row>
    <row r="78" customFormat="false" ht="32.25" hidden="false" customHeight="true" outlineLevel="0" collapsed="false">
      <c r="A78" s="27" t="n">
        <v>1</v>
      </c>
      <c r="B78" s="28" t="s">
        <v>42</v>
      </c>
      <c r="C78" s="10" t="n">
        <v>3</v>
      </c>
      <c r="D78" s="10" t="n">
        <v>0</v>
      </c>
      <c r="E78" s="10" t="n">
        <v>3</v>
      </c>
      <c r="F78" s="10" t="n">
        <v>0</v>
      </c>
      <c r="G78" s="10" t="n">
        <v>0</v>
      </c>
      <c r="H78" s="29" t="n">
        <v>200</v>
      </c>
      <c r="I78" s="29" t="n">
        <v>243</v>
      </c>
      <c r="J78" s="30" t="n">
        <v>180</v>
      </c>
      <c r="K78" s="30" t="n">
        <v>209</v>
      </c>
      <c r="L78" s="30" t="n">
        <v>110</v>
      </c>
      <c r="M78" s="30" t="n">
        <v>117</v>
      </c>
      <c r="N78" s="31" t="n">
        <f aca="false">SUM(J78:M78)</f>
        <v>616</v>
      </c>
      <c r="O78" s="32" t="n">
        <v>0</v>
      </c>
      <c r="P78" s="33" t="n">
        <f aca="false">P56+Q56</f>
        <v>60</v>
      </c>
      <c r="Q78" s="33"/>
      <c r="R78" s="33" t="n">
        <f aca="false">R56+S56</f>
        <v>150</v>
      </c>
      <c r="S78" s="33"/>
      <c r="T78" s="33" t="n">
        <f aca="false">T56+U56</f>
        <v>29</v>
      </c>
      <c r="U78" s="34" t="n">
        <v>8</v>
      </c>
      <c r="V78" s="33" t="n">
        <f aca="false">V56+W56</f>
        <v>58</v>
      </c>
      <c r="W78" s="34" t="n">
        <v>11</v>
      </c>
      <c r="X78" s="33" t="n">
        <f aca="false">X56+Y56</f>
        <v>46</v>
      </c>
      <c r="Y78" s="34" t="n">
        <v>11</v>
      </c>
      <c r="Z78" s="33" t="n">
        <f aca="false">Z56+AA56</f>
        <v>37</v>
      </c>
      <c r="AA78" s="34" t="n">
        <v>8</v>
      </c>
      <c r="AB78" s="33" t="n">
        <f aca="false">AB56+AC56</f>
        <v>14</v>
      </c>
      <c r="AC78" s="33" t="n">
        <v>7</v>
      </c>
      <c r="AD78" s="33" t="n">
        <f aca="false">AD56+AE56</f>
        <v>22</v>
      </c>
      <c r="AE78" s="33" t="n">
        <v>9</v>
      </c>
      <c r="AF78" s="33" t="n">
        <f aca="false">AF56+AG56</f>
        <v>25</v>
      </c>
      <c r="AG78" s="34" t="n">
        <v>8</v>
      </c>
      <c r="AH78" s="33" t="n">
        <f aca="false">AH56+AI56</f>
        <v>29</v>
      </c>
      <c r="AI78" s="34" t="n">
        <v>9</v>
      </c>
      <c r="AJ78" s="33" t="n">
        <f aca="false">AJ56+AK56</f>
        <v>2</v>
      </c>
      <c r="AK78" s="34" t="n">
        <v>4</v>
      </c>
      <c r="AL78" s="33" t="n">
        <f aca="false">AL56+AM56</f>
        <v>6</v>
      </c>
      <c r="AM78" s="34" t="n">
        <v>5</v>
      </c>
      <c r="AN78" s="35" t="n">
        <f aca="false">P78+AB78</f>
        <v>74</v>
      </c>
      <c r="AO78" s="35" t="n">
        <f aca="false">Q78+AC78</f>
        <v>7</v>
      </c>
      <c r="AP78" s="35" t="n">
        <f aca="false">R78+AD78</f>
        <v>172</v>
      </c>
      <c r="AQ78" s="35" t="n">
        <f aca="false">S78+AE78</f>
        <v>9</v>
      </c>
      <c r="AR78" s="35" t="n">
        <f aca="false">T78+AF78</f>
        <v>54</v>
      </c>
      <c r="AS78" s="35" t="n">
        <f aca="false">U78+AG78</f>
        <v>16</v>
      </c>
      <c r="AT78" s="35" t="n">
        <f aca="false">V78+AH78</f>
        <v>87</v>
      </c>
      <c r="AU78" s="35" t="n">
        <f aca="false">W78+AI78</f>
        <v>20</v>
      </c>
      <c r="AV78" s="35" t="n">
        <f aca="false">X78+AJ78</f>
        <v>48</v>
      </c>
      <c r="AW78" s="35" t="n">
        <f aca="false">Y78+AK78</f>
        <v>15</v>
      </c>
      <c r="AX78" s="35" t="n">
        <f aca="false">Z78+AL78</f>
        <v>43</v>
      </c>
      <c r="AY78" s="35" t="n">
        <f aca="false">AA78+AM78</f>
        <v>13</v>
      </c>
      <c r="AZ78" s="36" t="n">
        <f aca="false">AO78</f>
        <v>7</v>
      </c>
      <c r="BA78" s="36" t="n">
        <f aca="false">SUM(AN78:AO78)</f>
        <v>81</v>
      </c>
      <c r="BB78" s="36" t="n">
        <f aca="false">S78+AE78</f>
        <v>9</v>
      </c>
      <c r="BC78" s="36" t="n">
        <f aca="false">SUM(AP78:AQ78)</f>
        <v>181</v>
      </c>
      <c r="BD78" s="36" t="n">
        <f aca="false">U78+AG78</f>
        <v>16</v>
      </c>
      <c r="BE78" s="36" t="n">
        <f aca="false">SUM(AR78:AS78)</f>
        <v>70</v>
      </c>
      <c r="BF78" s="36" t="n">
        <f aca="false">W78+AI78</f>
        <v>20</v>
      </c>
      <c r="BG78" s="36" t="n">
        <f aca="false">SUM(AT78:AU78)</f>
        <v>107</v>
      </c>
      <c r="BH78" s="36" t="n">
        <f aca="false">Y78+AK78</f>
        <v>15</v>
      </c>
      <c r="BI78" s="36" t="n">
        <f aca="false">SUM(AV78:AW78)</f>
        <v>63</v>
      </c>
      <c r="BJ78" s="36" t="n">
        <f aca="false">AA78+AM78</f>
        <v>13</v>
      </c>
      <c r="BK78" s="36" t="n">
        <f aca="false">SUM(AX78:AY78)</f>
        <v>56</v>
      </c>
      <c r="BL78" s="37" t="n">
        <f aca="false">BE78+BI78</f>
        <v>133</v>
      </c>
      <c r="BM78" s="37" t="n">
        <f aca="false">BG78+BK78</f>
        <v>163</v>
      </c>
      <c r="BN78" s="38" t="n">
        <f aca="false">BL78+BM78</f>
        <v>296</v>
      </c>
      <c r="BO78" s="39" t="n">
        <f aca="false">BN78/N78*100</f>
        <v>48.0519480519481</v>
      </c>
      <c r="BP78" s="10" t="n">
        <v>32</v>
      </c>
      <c r="BQ78" s="10" t="n">
        <v>0</v>
      </c>
      <c r="BR78" s="10" t="n">
        <v>0</v>
      </c>
      <c r="BS78" s="10" t="n">
        <v>21</v>
      </c>
      <c r="BT78" s="10" t="n">
        <v>0</v>
      </c>
      <c r="BU78" s="10" t="n">
        <v>0</v>
      </c>
    </row>
    <row r="79" customFormat="false" ht="32.25" hidden="false" customHeight="true" outlineLevel="0" collapsed="false">
      <c r="A79" s="27" t="n">
        <v>2</v>
      </c>
      <c r="B79" s="28" t="s">
        <v>43</v>
      </c>
      <c r="C79" s="10" t="n">
        <v>3</v>
      </c>
      <c r="D79" s="10" t="n">
        <v>0</v>
      </c>
      <c r="E79" s="10" t="n">
        <v>3</v>
      </c>
      <c r="F79" s="10" t="n">
        <v>0</v>
      </c>
      <c r="G79" s="10" t="n">
        <v>0</v>
      </c>
      <c r="H79" s="29" t="n">
        <v>385</v>
      </c>
      <c r="I79" s="29" t="n">
        <v>393</v>
      </c>
      <c r="J79" s="30" t="n">
        <v>165</v>
      </c>
      <c r="K79" s="30" t="n">
        <v>177</v>
      </c>
      <c r="L79" s="30" t="n">
        <v>95</v>
      </c>
      <c r="M79" s="30" t="n">
        <v>104</v>
      </c>
      <c r="N79" s="31" t="n">
        <f aca="false">SUM(J79:M79)</f>
        <v>541</v>
      </c>
      <c r="O79" s="32" t="n">
        <v>0</v>
      </c>
      <c r="P79" s="33" t="n">
        <f aca="false">P57+Q57</f>
        <v>30</v>
      </c>
      <c r="Q79" s="33" t="n">
        <v>5</v>
      </c>
      <c r="R79" s="33" t="n">
        <f aca="false">R57+S57</f>
        <v>120</v>
      </c>
      <c r="S79" s="33" t="n">
        <v>6</v>
      </c>
      <c r="T79" s="33" t="n">
        <f aca="false">T57+U57</f>
        <v>55</v>
      </c>
      <c r="U79" s="34" t="n">
        <v>5</v>
      </c>
      <c r="V79" s="33" t="n">
        <f aca="false">V57+W57</f>
        <v>60</v>
      </c>
      <c r="W79" s="34" t="n">
        <v>7</v>
      </c>
      <c r="X79" s="33" t="n">
        <f aca="false">X57+Y57</f>
        <v>31</v>
      </c>
      <c r="Y79" s="34" t="n">
        <v>4</v>
      </c>
      <c r="Z79" s="33" t="n">
        <f aca="false">Z57+AA57</f>
        <v>33</v>
      </c>
      <c r="AA79" s="34" t="n">
        <v>5</v>
      </c>
      <c r="AB79" s="33" t="n">
        <f aca="false">AB57+AC57</f>
        <v>13</v>
      </c>
      <c r="AC79" s="33" t="n">
        <v>5</v>
      </c>
      <c r="AD79" s="33" t="n">
        <f aca="false">AD57+AE57</f>
        <v>25</v>
      </c>
      <c r="AE79" s="33" t="n">
        <v>7</v>
      </c>
      <c r="AF79" s="33" t="n">
        <f aca="false">AF57+AG57</f>
        <v>10</v>
      </c>
      <c r="AG79" s="34" t="n">
        <v>4</v>
      </c>
      <c r="AH79" s="33" t="n">
        <f aca="false">AH57+AI57</f>
        <v>15</v>
      </c>
      <c r="AI79" s="34" t="n">
        <v>6</v>
      </c>
      <c r="AJ79" s="33" t="n">
        <f aca="false">AJ57+AK57</f>
        <v>6</v>
      </c>
      <c r="AK79" s="34" t="n">
        <v>3</v>
      </c>
      <c r="AL79" s="33" t="n">
        <f aca="false">AL57+AM57</f>
        <v>10</v>
      </c>
      <c r="AM79" s="34" t="n">
        <v>4</v>
      </c>
      <c r="AN79" s="35" t="n">
        <f aca="false">P79+AB79</f>
        <v>43</v>
      </c>
      <c r="AO79" s="35" t="n">
        <f aca="false">Q79+AC79</f>
        <v>10</v>
      </c>
      <c r="AP79" s="35" t="n">
        <f aca="false">R79+AD79</f>
        <v>145</v>
      </c>
      <c r="AQ79" s="35" t="n">
        <f aca="false">S79+AE79</f>
        <v>13</v>
      </c>
      <c r="AR79" s="35" t="n">
        <f aca="false">T79+AF79</f>
        <v>65</v>
      </c>
      <c r="AS79" s="35" t="n">
        <f aca="false">U79+AG79</f>
        <v>9</v>
      </c>
      <c r="AT79" s="35" t="n">
        <f aca="false">V79+AH79</f>
        <v>75</v>
      </c>
      <c r="AU79" s="35" t="n">
        <f aca="false">W79+AI79</f>
        <v>13</v>
      </c>
      <c r="AV79" s="35" t="n">
        <f aca="false">X79+AJ79</f>
        <v>37</v>
      </c>
      <c r="AW79" s="35" t="n">
        <f aca="false">Y79+AK79</f>
        <v>7</v>
      </c>
      <c r="AX79" s="35" t="n">
        <f aca="false">Z79+AL79</f>
        <v>43</v>
      </c>
      <c r="AY79" s="35" t="n">
        <f aca="false">AA79+AM79</f>
        <v>9</v>
      </c>
      <c r="AZ79" s="36" t="n">
        <f aca="false">AO79</f>
        <v>10</v>
      </c>
      <c r="BA79" s="36" t="n">
        <f aca="false">SUM(AN79:AO79)</f>
        <v>53</v>
      </c>
      <c r="BB79" s="36" t="n">
        <f aca="false">S79+AE79</f>
        <v>13</v>
      </c>
      <c r="BC79" s="36" t="n">
        <f aca="false">SUM(AP79:AQ79)</f>
        <v>158</v>
      </c>
      <c r="BD79" s="36" t="n">
        <f aca="false">U79+AG79</f>
        <v>9</v>
      </c>
      <c r="BE79" s="36" t="n">
        <f aca="false">SUM(AR79:AS79)</f>
        <v>74</v>
      </c>
      <c r="BF79" s="36" t="n">
        <f aca="false">W79+AI79</f>
        <v>13</v>
      </c>
      <c r="BG79" s="36" t="n">
        <f aca="false">SUM(AT79:AU79)</f>
        <v>88</v>
      </c>
      <c r="BH79" s="36" t="n">
        <f aca="false">Y79+AK79</f>
        <v>7</v>
      </c>
      <c r="BI79" s="36" t="n">
        <f aca="false">SUM(AV79:AW79)</f>
        <v>44</v>
      </c>
      <c r="BJ79" s="36" t="n">
        <f aca="false">AA79+AM79</f>
        <v>9</v>
      </c>
      <c r="BK79" s="36" t="n">
        <f aca="false">SUM(AX79:AY79)</f>
        <v>52</v>
      </c>
      <c r="BL79" s="37" t="n">
        <f aca="false">BE79+BI79</f>
        <v>118</v>
      </c>
      <c r="BM79" s="37" t="n">
        <f aca="false">BG79+BK79</f>
        <v>140</v>
      </c>
      <c r="BN79" s="38" t="n">
        <f aca="false">BL79+BM79</f>
        <v>258</v>
      </c>
      <c r="BO79" s="39" t="n">
        <f aca="false">BN79/N79*100</f>
        <v>47.6894639556377</v>
      </c>
      <c r="BP79" s="10" t="n">
        <v>30</v>
      </c>
      <c r="BQ79" s="10" t="n">
        <v>0</v>
      </c>
      <c r="BR79" s="10" t="n">
        <v>0</v>
      </c>
      <c r="BS79" s="10" t="n">
        <v>21</v>
      </c>
      <c r="BT79" s="10" t="n">
        <v>0</v>
      </c>
      <c r="BU79" s="10" t="n">
        <v>0</v>
      </c>
    </row>
    <row r="80" customFormat="false" ht="32.25" hidden="false" customHeight="true" outlineLevel="0" collapsed="false">
      <c r="A80" s="27" t="n">
        <v>3</v>
      </c>
      <c r="B80" s="28" t="s">
        <v>44</v>
      </c>
      <c r="C80" s="10" t="n">
        <v>2</v>
      </c>
      <c r="D80" s="10" t="n">
        <v>0</v>
      </c>
      <c r="E80" s="10" t="n">
        <v>2</v>
      </c>
      <c r="F80" s="10" t="n">
        <v>0</v>
      </c>
      <c r="G80" s="10" t="n">
        <v>0</v>
      </c>
      <c r="H80" s="29" t="n">
        <v>178</v>
      </c>
      <c r="I80" s="29" t="n">
        <v>178</v>
      </c>
      <c r="J80" s="30" t="n">
        <v>70</v>
      </c>
      <c r="K80" s="30" t="n">
        <v>87</v>
      </c>
      <c r="L80" s="30" t="n">
        <v>45</v>
      </c>
      <c r="M80" s="30" t="n">
        <v>46</v>
      </c>
      <c r="N80" s="31" t="n">
        <f aca="false">SUM(J80:M80)</f>
        <v>248</v>
      </c>
      <c r="O80" s="32" t="n">
        <v>0</v>
      </c>
      <c r="P80" s="33" t="n">
        <f aca="false">P58+Q58</f>
        <v>15</v>
      </c>
      <c r="Q80" s="33" t="n">
        <v>1</v>
      </c>
      <c r="R80" s="33" t="n">
        <f aca="false">R58+S58</f>
        <v>47</v>
      </c>
      <c r="S80" s="33" t="n">
        <v>1</v>
      </c>
      <c r="T80" s="33" t="n">
        <f aca="false">T58+U58</f>
        <v>20</v>
      </c>
      <c r="U80" s="34" t="n">
        <v>1</v>
      </c>
      <c r="V80" s="33" t="n">
        <f aca="false">V58+W58</f>
        <v>18</v>
      </c>
      <c r="W80" s="34" t="n">
        <v>1</v>
      </c>
      <c r="X80" s="33" t="n">
        <f aca="false">X58+Y58</f>
        <v>6</v>
      </c>
      <c r="Y80" s="34"/>
      <c r="Z80" s="33" t="n">
        <f aca="false">Z58+AA58</f>
        <v>9</v>
      </c>
      <c r="AA80" s="34" t="n">
        <v>2</v>
      </c>
      <c r="AB80" s="33" t="n">
        <f aca="false">AB58+AC58</f>
        <v>3</v>
      </c>
      <c r="AC80" s="33" t="n">
        <v>1</v>
      </c>
      <c r="AD80" s="33" t="n">
        <f aca="false">AD58+AE58</f>
        <v>6</v>
      </c>
      <c r="AE80" s="33" t="n">
        <v>1</v>
      </c>
      <c r="AF80" s="33" t="n">
        <f aca="false">AF58+AG58</f>
        <v>1</v>
      </c>
      <c r="AG80" s="34"/>
      <c r="AH80" s="33" t="n">
        <f aca="false">AH58+AI58</f>
        <v>4</v>
      </c>
      <c r="AI80" s="34" t="n">
        <v>2</v>
      </c>
      <c r="AJ80" s="33" t="n">
        <f aca="false">AJ58+AK58</f>
        <v>0</v>
      </c>
      <c r="AK80" s="34"/>
      <c r="AL80" s="33" t="n">
        <f aca="false">AL58+AM58</f>
        <v>3</v>
      </c>
      <c r="AM80" s="34" t="n">
        <v>1</v>
      </c>
      <c r="AN80" s="35" t="n">
        <f aca="false">P80+AB80</f>
        <v>18</v>
      </c>
      <c r="AO80" s="35" t="n">
        <f aca="false">Q80+AC80</f>
        <v>2</v>
      </c>
      <c r="AP80" s="35" t="n">
        <f aca="false">R80+AD80</f>
        <v>53</v>
      </c>
      <c r="AQ80" s="35" t="n">
        <f aca="false">S80+AE80</f>
        <v>2</v>
      </c>
      <c r="AR80" s="35" t="n">
        <f aca="false">T80+AF80</f>
        <v>21</v>
      </c>
      <c r="AS80" s="35" t="n">
        <f aca="false">U80+AG80</f>
        <v>1</v>
      </c>
      <c r="AT80" s="35" t="n">
        <f aca="false">V80+AH80</f>
        <v>22</v>
      </c>
      <c r="AU80" s="35" t="n">
        <f aca="false">W80+AI80</f>
        <v>3</v>
      </c>
      <c r="AV80" s="35" t="n">
        <f aca="false">X80+AJ80</f>
        <v>6</v>
      </c>
      <c r="AW80" s="35" t="n">
        <f aca="false">Y80+AK80</f>
        <v>0</v>
      </c>
      <c r="AX80" s="35" t="n">
        <f aca="false">Z80+AL80</f>
        <v>12</v>
      </c>
      <c r="AY80" s="35" t="n">
        <f aca="false">AA80+AM80</f>
        <v>3</v>
      </c>
      <c r="AZ80" s="36" t="n">
        <f aca="false">AO80</f>
        <v>2</v>
      </c>
      <c r="BA80" s="36" t="n">
        <f aca="false">SUM(AN80:AO80)</f>
        <v>20</v>
      </c>
      <c r="BB80" s="36" t="n">
        <f aca="false">S80+AE80</f>
        <v>2</v>
      </c>
      <c r="BC80" s="36" t="n">
        <f aca="false">SUM(AP80:AQ80)</f>
        <v>55</v>
      </c>
      <c r="BD80" s="36" t="n">
        <f aca="false">U80+AG80</f>
        <v>1</v>
      </c>
      <c r="BE80" s="36" t="n">
        <f aca="false">SUM(AR80:AS80)</f>
        <v>22</v>
      </c>
      <c r="BF80" s="36" t="n">
        <f aca="false">W80+AI80</f>
        <v>3</v>
      </c>
      <c r="BG80" s="36" t="n">
        <f aca="false">SUM(AT80:AU80)</f>
        <v>25</v>
      </c>
      <c r="BH80" s="36" t="n">
        <f aca="false">Y80+AK80</f>
        <v>0</v>
      </c>
      <c r="BI80" s="36" t="n">
        <f aca="false">SUM(AV80:AW80)</f>
        <v>6</v>
      </c>
      <c r="BJ80" s="36" t="n">
        <f aca="false">AA80+AM80</f>
        <v>3</v>
      </c>
      <c r="BK80" s="36" t="n">
        <f aca="false">SUM(AX80:AY80)</f>
        <v>15</v>
      </c>
      <c r="BL80" s="37" t="n">
        <f aca="false">BE80+BI80</f>
        <v>28</v>
      </c>
      <c r="BM80" s="37" t="n">
        <f aca="false">BG80+BK80</f>
        <v>40</v>
      </c>
      <c r="BN80" s="38" t="n">
        <f aca="false">BL80+BM80</f>
        <v>68</v>
      </c>
      <c r="BO80" s="39" t="n">
        <f aca="false">BN80/N80*100</f>
        <v>27.4193548387097</v>
      </c>
      <c r="BP80" s="10" t="n">
        <v>1</v>
      </c>
      <c r="BQ80" s="10" t="n">
        <v>0</v>
      </c>
      <c r="BR80" s="10" t="n">
        <v>0</v>
      </c>
      <c r="BS80" s="10" t="n">
        <v>0</v>
      </c>
      <c r="BT80" s="10" t="n">
        <v>0</v>
      </c>
      <c r="BU80" s="10" t="n">
        <v>0</v>
      </c>
    </row>
    <row r="81" customFormat="false" ht="32.25" hidden="false" customHeight="true" outlineLevel="0" collapsed="false">
      <c r="A81" s="27" t="n">
        <v>4</v>
      </c>
      <c r="B81" s="28" t="s">
        <v>45</v>
      </c>
      <c r="C81" s="10" t="n">
        <v>2</v>
      </c>
      <c r="D81" s="10" t="n">
        <v>0</v>
      </c>
      <c r="E81" s="10" t="n">
        <v>2</v>
      </c>
      <c r="F81" s="10" t="n">
        <v>0</v>
      </c>
      <c r="G81" s="10" t="n">
        <v>0</v>
      </c>
      <c r="H81" s="29" t="n">
        <v>245</v>
      </c>
      <c r="I81" s="29" t="n">
        <v>248</v>
      </c>
      <c r="J81" s="30" t="n">
        <v>100</v>
      </c>
      <c r="K81" s="30" t="n">
        <v>117</v>
      </c>
      <c r="L81" s="30" t="n">
        <v>60</v>
      </c>
      <c r="M81" s="30" t="n">
        <v>66</v>
      </c>
      <c r="N81" s="31" t="n">
        <f aca="false">SUM(J81:M81)</f>
        <v>343</v>
      </c>
      <c r="O81" s="32" t="n">
        <v>0</v>
      </c>
      <c r="P81" s="33" t="n">
        <f aca="false">P59+Q59</f>
        <v>16</v>
      </c>
      <c r="Q81" s="42"/>
      <c r="R81" s="33" t="n">
        <f aca="false">R59+S59</f>
        <v>57</v>
      </c>
      <c r="S81" s="33"/>
      <c r="T81" s="33" t="n">
        <f aca="false">T59+U59</f>
        <v>8</v>
      </c>
      <c r="U81" s="34" t="n">
        <v>4</v>
      </c>
      <c r="V81" s="33" t="n">
        <f aca="false">V59+W59</f>
        <v>32</v>
      </c>
      <c r="W81" s="34" t="n">
        <v>10</v>
      </c>
      <c r="X81" s="33" t="n">
        <f aca="false">X59+Y59</f>
        <v>7</v>
      </c>
      <c r="Y81" s="34" t="n">
        <v>4</v>
      </c>
      <c r="Z81" s="33" t="n">
        <f aca="false">Z59+AA59</f>
        <v>13</v>
      </c>
      <c r="AA81" s="34" t="n">
        <v>5</v>
      </c>
      <c r="AB81" s="33" t="n">
        <f aca="false">AB59+AC59</f>
        <v>15</v>
      </c>
      <c r="AC81" s="43" t="n">
        <v>6</v>
      </c>
      <c r="AD81" s="33" t="n">
        <f aca="false">AD59+AE59</f>
        <v>18</v>
      </c>
      <c r="AE81" s="33" t="n">
        <v>6</v>
      </c>
      <c r="AF81" s="33" t="n">
        <f aca="false">AF59+AG59</f>
        <v>19</v>
      </c>
      <c r="AG81" s="34" t="n">
        <v>5</v>
      </c>
      <c r="AH81" s="33" t="n">
        <f aca="false">AH59+AI59</f>
        <v>27</v>
      </c>
      <c r="AI81" s="34" t="n">
        <v>8</v>
      </c>
      <c r="AJ81" s="33" t="n">
        <f aca="false">AJ59+AK59</f>
        <v>16</v>
      </c>
      <c r="AK81" s="34" t="n">
        <v>7</v>
      </c>
      <c r="AL81" s="33" t="n">
        <f aca="false">AL59+AM59</f>
        <v>20</v>
      </c>
      <c r="AM81" s="34" t="n">
        <v>8</v>
      </c>
      <c r="AN81" s="35" t="n">
        <f aca="false">P81+AB81</f>
        <v>31</v>
      </c>
      <c r="AO81" s="35" t="n">
        <f aca="false">Q81+AC81</f>
        <v>6</v>
      </c>
      <c r="AP81" s="35" t="n">
        <f aca="false">R81+AD81</f>
        <v>75</v>
      </c>
      <c r="AQ81" s="35" t="n">
        <f aca="false">S81+AE81</f>
        <v>6</v>
      </c>
      <c r="AR81" s="35" t="n">
        <f aca="false">T81+AF81</f>
        <v>27</v>
      </c>
      <c r="AS81" s="35" t="n">
        <f aca="false">U81+AG81</f>
        <v>9</v>
      </c>
      <c r="AT81" s="35" t="n">
        <f aca="false">V81+AH81</f>
        <v>59</v>
      </c>
      <c r="AU81" s="35" t="n">
        <f aca="false">W81+AI81</f>
        <v>18</v>
      </c>
      <c r="AV81" s="35" t="n">
        <f aca="false">X81+AJ81</f>
        <v>23</v>
      </c>
      <c r="AW81" s="35" t="n">
        <f aca="false">Y81+AK81</f>
        <v>11</v>
      </c>
      <c r="AX81" s="35" t="n">
        <f aca="false">Z81+AL81</f>
        <v>33</v>
      </c>
      <c r="AY81" s="35" t="n">
        <f aca="false">AA81+AM81</f>
        <v>13</v>
      </c>
      <c r="AZ81" s="36" t="n">
        <f aca="false">AO81</f>
        <v>6</v>
      </c>
      <c r="BA81" s="36" t="n">
        <f aca="false">SUM(AN81:AO81)</f>
        <v>37</v>
      </c>
      <c r="BB81" s="36" t="n">
        <f aca="false">S81+AE81</f>
        <v>6</v>
      </c>
      <c r="BC81" s="36" t="n">
        <f aca="false">SUM(AP81:AQ81)</f>
        <v>81</v>
      </c>
      <c r="BD81" s="36" t="n">
        <f aca="false">U81+AG81</f>
        <v>9</v>
      </c>
      <c r="BE81" s="36" t="n">
        <f aca="false">SUM(AR81:AS81)</f>
        <v>36</v>
      </c>
      <c r="BF81" s="36" t="n">
        <f aca="false">W81+AI81</f>
        <v>18</v>
      </c>
      <c r="BG81" s="36" t="n">
        <f aca="false">SUM(AT81:AU81)</f>
        <v>77</v>
      </c>
      <c r="BH81" s="36" t="n">
        <f aca="false">Y81+AK81</f>
        <v>11</v>
      </c>
      <c r="BI81" s="36" t="n">
        <f aca="false">SUM(AV81:AW81)</f>
        <v>34</v>
      </c>
      <c r="BJ81" s="36" t="n">
        <f aca="false">AA81+AM81</f>
        <v>13</v>
      </c>
      <c r="BK81" s="36" t="n">
        <f aca="false">SUM(AX81:AY81)</f>
        <v>46</v>
      </c>
      <c r="BL81" s="37" t="n">
        <f aca="false">BE81+BI81</f>
        <v>70</v>
      </c>
      <c r="BM81" s="37" t="n">
        <f aca="false">BG81+BK81</f>
        <v>123</v>
      </c>
      <c r="BN81" s="38" t="n">
        <f aca="false">BL81+BM81</f>
        <v>193</v>
      </c>
      <c r="BO81" s="39" t="n">
        <f aca="false">BN81/N81*100</f>
        <v>56.268221574344</v>
      </c>
      <c r="BP81" s="10" t="n">
        <v>28</v>
      </c>
      <c r="BQ81" s="10" t="n">
        <v>0</v>
      </c>
      <c r="BR81" s="10" t="n">
        <v>0</v>
      </c>
      <c r="BS81" s="10" t="n">
        <v>17</v>
      </c>
      <c r="BT81" s="10" t="n">
        <v>0</v>
      </c>
      <c r="BU81" s="10" t="n">
        <v>0</v>
      </c>
    </row>
    <row r="82" customFormat="false" ht="32.25" hidden="false" customHeight="true" outlineLevel="0" collapsed="false">
      <c r="A82" s="27" t="n">
        <v>5</v>
      </c>
      <c r="B82" s="28" t="s">
        <v>46</v>
      </c>
      <c r="C82" s="10" t="n">
        <v>2</v>
      </c>
      <c r="D82" s="10" t="n">
        <v>0</v>
      </c>
      <c r="E82" s="10" t="n">
        <v>2</v>
      </c>
      <c r="F82" s="10" t="n">
        <v>0</v>
      </c>
      <c r="G82" s="10" t="n">
        <v>0</v>
      </c>
      <c r="H82" s="29" t="n">
        <v>238</v>
      </c>
      <c r="I82" s="29" t="n">
        <v>239</v>
      </c>
      <c r="J82" s="30" t="n">
        <v>95</v>
      </c>
      <c r="K82" s="30" t="n">
        <v>114</v>
      </c>
      <c r="L82" s="30" t="n">
        <v>55</v>
      </c>
      <c r="M82" s="30" t="n">
        <v>67</v>
      </c>
      <c r="N82" s="31" t="n">
        <f aca="false">SUM(J82:M82)</f>
        <v>331</v>
      </c>
      <c r="O82" s="32" t="n">
        <v>0</v>
      </c>
      <c r="P82" s="33" t="n">
        <f aca="false">P60+Q60</f>
        <v>22</v>
      </c>
      <c r="Q82" s="43" t="n">
        <v>7</v>
      </c>
      <c r="R82" s="33" t="n">
        <f aca="false">R60+S60</f>
        <v>51</v>
      </c>
      <c r="S82" s="33" t="n">
        <v>13</v>
      </c>
      <c r="T82" s="33" t="n">
        <f aca="false">T60+U60</f>
        <v>38</v>
      </c>
      <c r="U82" s="34" t="n">
        <v>9</v>
      </c>
      <c r="V82" s="33" t="n">
        <f aca="false">V60+W60</f>
        <v>42</v>
      </c>
      <c r="W82" s="34" t="n">
        <v>7</v>
      </c>
      <c r="X82" s="33" t="n">
        <f aca="false">X60+Y60</f>
        <v>4</v>
      </c>
      <c r="Y82" s="34" t="n">
        <v>1</v>
      </c>
      <c r="Z82" s="33" t="n">
        <f aca="false">Z60+AA60</f>
        <v>9</v>
      </c>
      <c r="AA82" s="34" t="n">
        <v>4</v>
      </c>
      <c r="AB82" s="33" t="n">
        <f aca="false">AB60+AC60</f>
        <v>5</v>
      </c>
      <c r="AC82" s="43"/>
      <c r="AD82" s="33" t="n">
        <f aca="false">AD60+AE60</f>
        <v>30</v>
      </c>
      <c r="AE82" s="33"/>
      <c r="AF82" s="33" t="n">
        <f aca="false">AF60+AG60</f>
        <v>4</v>
      </c>
      <c r="AG82" s="34"/>
      <c r="AH82" s="33" t="n">
        <f aca="false">AH60+AI60</f>
        <v>24</v>
      </c>
      <c r="AI82" s="34"/>
      <c r="AJ82" s="33" t="n">
        <f aca="false">AJ60+AK60</f>
        <v>2</v>
      </c>
      <c r="AK82" s="34"/>
      <c r="AL82" s="33" t="n">
        <f aca="false">AL60+AM60</f>
        <v>5</v>
      </c>
      <c r="AM82" s="34"/>
      <c r="AN82" s="35" t="n">
        <f aca="false">P82+AB82</f>
        <v>27</v>
      </c>
      <c r="AO82" s="35" t="n">
        <f aca="false">Q82+AC82</f>
        <v>7</v>
      </c>
      <c r="AP82" s="35" t="n">
        <f aca="false">R82+AD82</f>
        <v>81</v>
      </c>
      <c r="AQ82" s="35" t="n">
        <f aca="false">S82+AE82</f>
        <v>13</v>
      </c>
      <c r="AR82" s="35" t="n">
        <f aca="false">T82+AF82</f>
        <v>42</v>
      </c>
      <c r="AS82" s="35" t="n">
        <f aca="false">U82+AG82</f>
        <v>9</v>
      </c>
      <c r="AT82" s="35" t="n">
        <f aca="false">V82+AH82</f>
        <v>66</v>
      </c>
      <c r="AU82" s="35" t="n">
        <f aca="false">W82+AI82</f>
        <v>7</v>
      </c>
      <c r="AV82" s="35" t="n">
        <f aca="false">X82+AJ82</f>
        <v>6</v>
      </c>
      <c r="AW82" s="35" t="n">
        <f aca="false">Y82+AK82</f>
        <v>1</v>
      </c>
      <c r="AX82" s="35" t="n">
        <f aca="false">Z82+AL82</f>
        <v>14</v>
      </c>
      <c r="AY82" s="35" t="n">
        <f aca="false">AA82+AM82</f>
        <v>4</v>
      </c>
      <c r="AZ82" s="36" t="n">
        <f aca="false">AO82</f>
        <v>7</v>
      </c>
      <c r="BA82" s="36" t="n">
        <f aca="false">SUM(AN82:AO82)</f>
        <v>34</v>
      </c>
      <c r="BB82" s="36" t="n">
        <f aca="false">S82+AE82</f>
        <v>13</v>
      </c>
      <c r="BC82" s="36" t="n">
        <f aca="false">SUM(AP82:AQ82)</f>
        <v>94</v>
      </c>
      <c r="BD82" s="36" t="n">
        <f aca="false">U82+AG82</f>
        <v>9</v>
      </c>
      <c r="BE82" s="36" t="n">
        <f aca="false">SUM(AR82:AS82)</f>
        <v>51</v>
      </c>
      <c r="BF82" s="36" t="n">
        <f aca="false">W82+AI82</f>
        <v>7</v>
      </c>
      <c r="BG82" s="36" t="n">
        <f aca="false">SUM(AT82:AU82)</f>
        <v>73</v>
      </c>
      <c r="BH82" s="36" t="n">
        <f aca="false">Y82+AK82</f>
        <v>1</v>
      </c>
      <c r="BI82" s="36" t="n">
        <f aca="false">SUM(AV82:AW82)</f>
        <v>7</v>
      </c>
      <c r="BJ82" s="36" t="n">
        <f aca="false">AA82+AM82</f>
        <v>4</v>
      </c>
      <c r="BK82" s="36" t="n">
        <f aca="false">SUM(AX82:AY82)</f>
        <v>18</v>
      </c>
      <c r="BL82" s="37" t="n">
        <f aca="false">BE82+BI82</f>
        <v>58</v>
      </c>
      <c r="BM82" s="37" t="n">
        <f aca="false">BG82+BK82</f>
        <v>91</v>
      </c>
      <c r="BN82" s="38" t="n">
        <f aca="false">BL82+BM82</f>
        <v>149</v>
      </c>
      <c r="BO82" s="39" t="n">
        <f aca="false">BN82/N82*100</f>
        <v>45.0151057401813</v>
      </c>
      <c r="BP82" s="10" t="n">
        <v>27</v>
      </c>
      <c r="BQ82" s="10" t="n">
        <v>0</v>
      </c>
      <c r="BR82" s="10" t="n">
        <v>0</v>
      </c>
      <c r="BS82" s="10" t="n">
        <v>5</v>
      </c>
      <c r="BT82" s="10" t="n">
        <v>0</v>
      </c>
      <c r="BU82" s="10" t="n">
        <v>0</v>
      </c>
    </row>
    <row r="83" customFormat="false" ht="32.25" hidden="false" customHeight="true" outlineLevel="0" collapsed="false">
      <c r="A83" s="27" t="n">
        <v>5</v>
      </c>
      <c r="B83" s="28" t="s">
        <v>47</v>
      </c>
      <c r="C83" s="10" t="n">
        <v>3</v>
      </c>
      <c r="D83" s="10" t="n">
        <v>0</v>
      </c>
      <c r="E83" s="10" t="n">
        <v>3</v>
      </c>
      <c r="F83" s="10" t="n">
        <v>0</v>
      </c>
      <c r="G83" s="10" t="n">
        <v>0</v>
      </c>
      <c r="H83" s="29" t="n">
        <v>302</v>
      </c>
      <c r="I83" s="29" t="n">
        <v>303</v>
      </c>
      <c r="J83" s="30" t="n">
        <v>155</v>
      </c>
      <c r="K83" s="30" t="n">
        <v>110</v>
      </c>
      <c r="L83" s="30" t="n">
        <v>75</v>
      </c>
      <c r="M83" s="30" t="n">
        <v>80</v>
      </c>
      <c r="N83" s="31" t="n">
        <f aca="false">SUM(J83:M83)</f>
        <v>420</v>
      </c>
      <c r="O83" s="32" t="n">
        <v>0</v>
      </c>
      <c r="P83" s="33" t="n">
        <f aca="false">P61+Q61</f>
        <v>35</v>
      </c>
      <c r="Q83" s="33"/>
      <c r="R83" s="33" t="n">
        <f aca="false">R61+S61</f>
        <v>66</v>
      </c>
      <c r="S83" s="33"/>
      <c r="T83" s="33" t="n">
        <f aca="false">T61+U61</f>
        <v>17</v>
      </c>
      <c r="U83" s="34" t="n">
        <v>5</v>
      </c>
      <c r="V83" s="33" t="n">
        <f aca="false">V61+W61</f>
        <v>17</v>
      </c>
      <c r="W83" s="34" t="n">
        <v>3</v>
      </c>
      <c r="X83" s="33" t="n">
        <f aca="false">X61+Y61</f>
        <v>7</v>
      </c>
      <c r="Y83" s="34" t="n">
        <v>3</v>
      </c>
      <c r="Z83" s="33" t="n">
        <f aca="false">Z61+AA61</f>
        <v>16</v>
      </c>
      <c r="AA83" s="34" t="n">
        <v>2</v>
      </c>
      <c r="AB83" s="33" t="n">
        <f aca="false">AB61+AC61</f>
        <v>15</v>
      </c>
      <c r="AC83" s="33" t="n">
        <v>4</v>
      </c>
      <c r="AD83" s="33" t="n">
        <f aca="false">AD61+AE61</f>
        <v>19</v>
      </c>
      <c r="AE83" s="33" t="n">
        <v>5</v>
      </c>
      <c r="AF83" s="33" t="n">
        <f aca="false">AF61+AG61</f>
        <v>5</v>
      </c>
      <c r="AG83" s="34" t="n">
        <v>4</v>
      </c>
      <c r="AH83" s="33" t="n">
        <f aca="false">AH61+AI61</f>
        <v>9</v>
      </c>
      <c r="AI83" s="34" t="n">
        <v>4</v>
      </c>
      <c r="AJ83" s="33" t="n">
        <f aca="false">AJ61+AK61</f>
        <v>4</v>
      </c>
      <c r="AK83" s="34" t="n">
        <v>2</v>
      </c>
      <c r="AL83" s="33" t="n">
        <f aca="false">AL61+AM61</f>
        <v>5</v>
      </c>
      <c r="AM83" s="34" t="n">
        <v>1</v>
      </c>
      <c r="AN83" s="35" t="n">
        <f aca="false">P83+AB83</f>
        <v>50</v>
      </c>
      <c r="AO83" s="35" t="n">
        <f aca="false">Q83+AC83</f>
        <v>4</v>
      </c>
      <c r="AP83" s="35" t="n">
        <f aca="false">R83+AD83</f>
        <v>85</v>
      </c>
      <c r="AQ83" s="35" t="n">
        <f aca="false">S83+AE83</f>
        <v>5</v>
      </c>
      <c r="AR83" s="35" t="n">
        <f aca="false">T83+AF83</f>
        <v>22</v>
      </c>
      <c r="AS83" s="35" t="n">
        <f aca="false">U83+AG83</f>
        <v>9</v>
      </c>
      <c r="AT83" s="35" t="n">
        <f aca="false">V83+AH83</f>
        <v>26</v>
      </c>
      <c r="AU83" s="35" t="n">
        <f aca="false">W83+AI83</f>
        <v>7</v>
      </c>
      <c r="AV83" s="35" t="n">
        <f aca="false">X83+AJ83</f>
        <v>11</v>
      </c>
      <c r="AW83" s="35" t="n">
        <f aca="false">Y83+AK83</f>
        <v>5</v>
      </c>
      <c r="AX83" s="35" t="n">
        <f aca="false">Z83+AL83</f>
        <v>21</v>
      </c>
      <c r="AY83" s="35" t="n">
        <f aca="false">AA83+AM83</f>
        <v>3</v>
      </c>
      <c r="AZ83" s="36" t="n">
        <f aca="false">AO83</f>
        <v>4</v>
      </c>
      <c r="BA83" s="36" t="n">
        <f aca="false">SUM(AN83:AO83)</f>
        <v>54</v>
      </c>
      <c r="BB83" s="36" t="n">
        <f aca="false">S83+AE83</f>
        <v>5</v>
      </c>
      <c r="BC83" s="36" t="n">
        <f aca="false">SUM(AP83:AQ83)</f>
        <v>90</v>
      </c>
      <c r="BD83" s="36" t="n">
        <f aca="false">U83+AG83</f>
        <v>9</v>
      </c>
      <c r="BE83" s="36" t="n">
        <f aca="false">SUM(AR83:AS83)</f>
        <v>31</v>
      </c>
      <c r="BF83" s="36" t="n">
        <f aca="false">W83+AI83</f>
        <v>7</v>
      </c>
      <c r="BG83" s="36" t="n">
        <f aca="false">SUM(AT83:AU83)</f>
        <v>33</v>
      </c>
      <c r="BH83" s="36" t="n">
        <f aca="false">Y83+AK83</f>
        <v>5</v>
      </c>
      <c r="BI83" s="36" t="n">
        <f aca="false">SUM(AV83:AW83)</f>
        <v>16</v>
      </c>
      <c r="BJ83" s="36" t="n">
        <f aca="false">AA83+AM83</f>
        <v>3</v>
      </c>
      <c r="BK83" s="36" t="n">
        <f aca="false">SUM(AX83:AY83)</f>
        <v>24</v>
      </c>
      <c r="BL83" s="37" t="n">
        <f aca="false">BE83+BI83</f>
        <v>47</v>
      </c>
      <c r="BM83" s="37" t="n">
        <f aca="false">BG83+BK83</f>
        <v>57</v>
      </c>
      <c r="BN83" s="38" t="n">
        <f aca="false">BL83+BM83</f>
        <v>104</v>
      </c>
      <c r="BO83" s="39" t="n">
        <f aca="false">BN83/N83*100</f>
        <v>24.7619047619048</v>
      </c>
      <c r="BP83" s="10" t="n">
        <v>10</v>
      </c>
      <c r="BQ83" s="10" t="n">
        <v>1</v>
      </c>
      <c r="BR83" s="10" t="n">
        <v>0</v>
      </c>
      <c r="BS83" s="10" t="n">
        <v>6</v>
      </c>
      <c r="BT83" s="10" t="n">
        <v>0</v>
      </c>
      <c r="BU83" s="10" t="n">
        <v>0</v>
      </c>
    </row>
    <row r="84" customFormat="false" ht="36.75" hidden="false" customHeight="true" outlineLevel="0" collapsed="false">
      <c r="A84" s="15" t="s">
        <v>48</v>
      </c>
      <c r="B84" s="15"/>
      <c r="C84" s="21" t="n">
        <f aca="false">SUM(C78:C83)</f>
        <v>15</v>
      </c>
      <c r="D84" s="21" t="n">
        <f aca="false">SUM(D78:D83)</f>
        <v>0</v>
      </c>
      <c r="E84" s="21" t="n">
        <f aca="false">SUM(E78:E83)</f>
        <v>15</v>
      </c>
      <c r="F84" s="21" t="n">
        <f aca="false">SUM(F78:F83)</f>
        <v>0</v>
      </c>
      <c r="G84" s="21" t="n">
        <f aca="false">SUM(G78:G83)</f>
        <v>0</v>
      </c>
      <c r="H84" s="31" t="n">
        <f aca="false">SUM(H78:H83)</f>
        <v>1548</v>
      </c>
      <c r="I84" s="31" t="n">
        <f aca="false">SUM(I78:I83)</f>
        <v>1604</v>
      </c>
      <c r="J84" s="31" t="n">
        <f aca="false">SUM(J78:J83)</f>
        <v>765</v>
      </c>
      <c r="K84" s="31" t="n">
        <f aca="false">SUM(K78:K83)</f>
        <v>814</v>
      </c>
      <c r="L84" s="31" t="n">
        <f aca="false">SUM(L78:L83)</f>
        <v>440</v>
      </c>
      <c r="M84" s="31" t="n">
        <f aca="false">SUM(M78:M83)</f>
        <v>480</v>
      </c>
      <c r="N84" s="31" t="n">
        <f aca="false">SUM(J84:M84)</f>
        <v>2499</v>
      </c>
      <c r="O84" s="31" t="n">
        <v>1506</v>
      </c>
      <c r="P84" s="21" t="n">
        <f aca="false">SUM(P78:P83)</f>
        <v>178</v>
      </c>
      <c r="Q84" s="21" t="n">
        <f aca="false">SUM(Q78:Q83)</f>
        <v>13</v>
      </c>
      <c r="R84" s="21" t="n">
        <f aca="false">SUM(R78:R83)</f>
        <v>491</v>
      </c>
      <c r="S84" s="21" t="n">
        <f aca="false">SUM(S78:S83)</f>
        <v>20</v>
      </c>
      <c r="T84" s="21" t="n">
        <f aca="false">SUM(T78:T83)</f>
        <v>167</v>
      </c>
      <c r="U84" s="44" t="n">
        <f aca="false">SUM(U78:U83)</f>
        <v>32</v>
      </c>
      <c r="V84" s="44" t="n">
        <f aca="false">SUM(V78:V83)</f>
        <v>227</v>
      </c>
      <c r="W84" s="44" t="n">
        <f aca="false">SUM(W78:W83)</f>
        <v>39</v>
      </c>
      <c r="X84" s="44" t="n">
        <f aca="false">SUM(X78:X83)</f>
        <v>101</v>
      </c>
      <c r="Y84" s="44" t="n">
        <f aca="false">SUM(Y78:Y83)</f>
        <v>23</v>
      </c>
      <c r="Z84" s="44" t="n">
        <f aca="false">SUM(Z78:Z83)</f>
        <v>117</v>
      </c>
      <c r="AA84" s="44" t="n">
        <f aca="false">SUM(AA78:AA83)</f>
        <v>26</v>
      </c>
      <c r="AB84" s="21" t="n">
        <f aca="false">SUM(AB78:AB83)</f>
        <v>65</v>
      </c>
      <c r="AC84" s="21" t="n">
        <f aca="false">SUM(AC78:AC83)</f>
        <v>23</v>
      </c>
      <c r="AD84" s="21" t="n">
        <f aca="false">SUM(AD78:AD83)</f>
        <v>120</v>
      </c>
      <c r="AE84" s="21" t="n">
        <f aca="false">SUM(AE78:AE83)</f>
        <v>28</v>
      </c>
      <c r="AF84" s="44" t="n">
        <f aca="false">SUM(AF78:AF83)</f>
        <v>64</v>
      </c>
      <c r="AG84" s="44" t="n">
        <f aca="false">SUM(AG78:AG83)</f>
        <v>21</v>
      </c>
      <c r="AH84" s="44" t="n">
        <f aca="false">SUM(AH78:AH83)</f>
        <v>108</v>
      </c>
      <c r="AI84" s="44" t="n">
        <f aca="false">SUM(AI78:AI83)</f>
        <v>29</v>
      </c>
      <c r="AJ84" s="44" t="n">
        <f aca="false">SUM(AJ78:AJ83)</f>
        <v>30</v>
      </c>
      <c r="AK84" s="44" t="n">
        <f aca="false">SUM(AK78:AK83)</f>
        <v>16</v>
      </c>
      <c r="AL84" s="44" t="n">
        <f aca="false">SUM(AL78:AL83)</f>
        <v>49</v>
      </c>
      <c r="AM84" s="44" t="n">
        <f aca="false">SUM(AM78:AM83)</f>
        <v>19</v>
      </c>
      <c r="AN84" s="21" t="n">
        <f aca="false">SUM(AN78:AN83)</f>
        <v>243</v>
      </c>
      <c r="AO84" s="21" t="n">
        <f aca="false">SUM(AO78:AO83)</f>
        <v>36</v>
      </c>
      <c r="AP84" s="21" t="n">
        <f aca="false">SUM(AP78:AP83)</f>
        <v>611</v>
      </c>
      <c r="AQ84" s="21" t="n">
        <f aca="false">SUM(AQ78:AQ83)</f>
        <v>48</v>
      </c>
      <c r="AR84" s="44" t="n">
        <f aca="false">SUM(AR78:AR83)</f>
        <v>231</v>
      </c>
      <c r="AS84" s="44" t="n">
        <f aca="false">SUM(AS78:AS83)</f>
        <v>53</v>
      </c>
      <c r="AT84" s="44" t="n">
        <f aca="false">SUM(AT78:AT83)</f>
        <v>335</v>
      </c>
      <c r="AU84" s="44" t="n">
        <f aca="false">SUM(AU78:AU83)</f>
        <v>68</v>
      </c>
      <c r="AV84" s="44" t="n">
        <f aca="false">SUM(AV78:AV83)</f>
        <v>131</v>
      </c>
      <c r="AW84" s="44" t="n">
        <f aca="false">SUM(AW78:AW83)</f>
        <v>39</v>
      </c>
      <c r="AX84" s="44" t="n">
        <f aca="false">SUM(AX78:AX83)</f>
        <v>166</v>
      </c>
      <c r="AY84" s="44" t="n">
        <f aca="false">SUM(AY78:AY83)</f>
        <v>45</v>
      </c>
      <c r="AZ84" s="21" t="n">
        <f aca="false">SUM(AZ78:AZ83)</f>
        <v>36</v>
      </c>
      <c r="BA84" s="21" t="n">
        <f aca="false">SUM(BA78:BA83)</f>
        <v>279</v>
      </c>
      <c r="BB84" s="21" t="n">
        <f aca="false">SUM(BB78:BB83)</f>
        <v>48</v>
      </c>
      <c r="BC84" s="21" t="n">
        <f aca="false">SUM(BC78:BC83)</f>
        <v>659</v>
      </c>
      <c r="BD84" s="21" t="n">
        <f aca="false">SUM(BD78:BD83)</f>
        <v>53</v>
      </c>
      <c r="BE84" s="21" t="n">
        <f aca="false">SUM(BE78:BE83)</f>
        <v>284</v>
      </c>
      <c r="BF84" s="21" t="n">
        <f aca="false">SUM(BF78:BF83)</f>
        <v>68</v>
      </c>
      <c r="BG84" s="21" t="n">
        <f aca="false">SUM(BG78:BG83)</f>
        <v>403</v>
      </c>
      <c r="BH84" s="21" t="n">
        <f aca="false">SUM(BH78:BH83)</f>
        <v>39</v>
      </c>
      <c r="BI84" s="21" t="n">
        <f aca="false">SUM(BI78:BI83)</f>
        <v>170</v>
      </c>
      <c r="BJ84" s="21" t="n">
        <f aca="false">SUM(BJ78:BJ83)</f>
        <v>45</v>
      </c>
      <c r="BK84" s="21" t="n">
        <f aca="false">SUM(BK78:BK83)</f>
        <v>211</v>
      </c>
      <c r="BL84" s="21" t="n">
        <f aca="false">SUM(BL78:BL83)</f>
        <v>454</v>
      </c>
      <c r="BM84" s="21" t="n">
        <f aca="false">SUM(BM78:BM83)</f>
        <v>614</v>
      </c>
      <c r="BN84" s="45" t="n">
        <f aca="false">SUM(BN78:BN83)</f>
        <v>1068</v>
      </c>
      <c r="BO84" s="45" t="n">
        <f aca="false">BN84/N84*100</f>
        <v>42.7370948379352</v>
      </c>
      <c r="BP84" s="21" t="n">
        <f aca="false">SUM(BP78:BP83)</f>
        <v>128</v>
      </c>
      <c r="BQ84" s="21" t="n">
        <f aca="false">SUM(BQ78:BQ83)</f>
        <v>1</v>
      </c>
      <c r="BR84" s="21" t="n">
        <f aca="false">SUM(BR78:BR83)</f>
        <v>0</v>
      </c>
      <c r="BS84" s="21" t="n">
        <f aca="false">SUM(BS78:BS83)</f>
        <v>70</v>
      </c>
      <c r="BT84" s="21" t="n">
        <f aca="false">SUM(BT78:BT83)</f>
        <v>0</v>
      </c>
      <c r="BU84" s="21" t="n">
        <f aca="false">SUM(BU78:BU83)</f>
        <v>0</v>
      </c>
    </row>
    <row r="85" customFormat="false" ht="15.75" hidden="false" customHeight="false" outlineLevel="0" collapsed="false"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</row>
    <row r="86" customFormat="false" ht="15.75" hidden="false" customHeight="false" outlineLevel="0" collapsed="false"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</row>
    <row r="87" customFormat="false" ht="15.75" hidden="false" customHeight="false" outlineLevel="0" collapsed="false"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</row>
    <row r="88" customFormat="false" ht="15.75" hidden="false" customHeight="false" outlineLevel="0" collapsed="false"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</row>
    <row r="89" customFormat="false" ht="15.75" hidden="false" customHeight="false" outlineLevel="0" collapsed="false">
      <c r="A89" s="2" t="s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</row>
    <row r="91" customFormat="false" ht="15.75" hidden="false" customHeight="false" outlineLevel="0" collapsed="false">
      <c r="A91" s="3" t="s">
        <v>1</v>
      </c>
      <c r="B91" s="4"/>
      <c r="C91" s="4" t="s">
        <v>2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</row>
    <row r="92" customFormat="false" ht="15.75" hidden="false" customHeight="false" outlineLevel="0" collapsed="false">
      <c r="A92" s="3" t="s">
        <v>3</v>
      </c>
      <c r="B92" s="4"/>
      <c r="C92" s="4" t="s">
        <v>4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</row>
    <row r="93" customFormat="false" ht="15.75" hidden="false" customHeight="false" outlineLevel="0" collapsed="false">
      <c r="A93" s="3" t="s">
        <v>5</v>
      </c>
      <c r="B93" s="4"/>
      <c r="C93" s="4" t="s">
        <v>55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</row>
    <row r="94" customFormat="false" ht="15.75" hidden="false" customHeight="false" outlineLevel="0" collapsed="false">
      <c r="A94" s="4"/>
      <c r="B94" s="4"/>
      <c r="C94" s="4"/>
      <c r="D94" s="4"/>
      <c r="E94" s="4"/>
      <c r="F94" s="4"/>
      <c r="G94" s="4"/>
      <c r="H94" s="5"/>
      <c r="I94" s="5"/>
      <c r="J94" s="5"/>
      <c r="K94" s="5"/>
      <c r="L94" s="5"/>
      <c r="M94" s="5"/>
      <c r="N94" s="5"/>
      <c r="O94" s="5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</row>
    <row r="95" customFormat="false" ht="33.75" hidden="false" customHeight="true" outlineLevel="0" collapsed="false">
      <c r="A95" s="7" t="s">
        <v>7</v>
      </c>
      <c r="B95" s="8" t="s">
        <v>8</v>
      </c>
      <c r="C95" s="8" t="s">
        <v>9</v>
      </c>
      <c r="D95" s="9" t="s">
        <v>10</v>
      </c>
      <c r="E95" s="9" t="s">
        <v>11</v>
      </c>
      <c r="F95" s="9" t="s">
        <v>12</v>
      </c>
      <c r="G95" s="9" t="s">
        <v>13</v>
      </c>
      <c r="H95" s="10" t="s">
        <v>14</v>
      </c>
      <c r="I95" s="10"/>
      <c r="J95" s="10"/>
      <c r="K95" s="10"/>
      <c r="L95" s="10"/>
      <c r="M95" s="11"/>
      <c r="N95" s="11"/>
      <c r="O95" s="8" t="s">
        <v>15</v>
      </c>
      <c r="P95" s="11" t="s">
        <v>16</v>
      </c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0" t="s">
        <v>17</v>
      </c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7" t="s">
        <v>18</v>
      </c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 t="s">
        <v>19</v>
      </c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8" t="s">
        <v>20</v>
      </c>
      <c r="BM95" s="8"/>
      <c r="BN95" s="8"/>
      <c r="BO95" s="8"/>
      <c r="BP95" s="7" t="s">
        <v>21</v>
      </c>
      <c r="BQ95" s="7"/>
      <c r="BR95" s="7"/>
      <c r="BS95" s="7" t="s">
        <v>21</v>
      </c>
      <c r="BT95" s="7"/>
      <c r="BU95" s="7"/>
    </row>
    <row r="96" customFormat="false" ht="44.25" hidden="false" customHeight="true" outlineLevel="0" collapsed="false">
      <c r="A96" s="7"/>
      <c r="B96" s="8"/>
      <c r="C96" s="8"/>
      <c r="D96" s="9"/>
      <c r="E96" s="9"/>
      <c r="F96" s="9"/>
      <c r="G96" s="9"/>
      <c r="H96" s="7" t="s">
        <v>22</v>
      </c>
      <c r="I96" s="7"/>
      <c r="J96" s="7" t="s">
        <v>23</v>
      </c>
      <c r="K96" s="7"/>
      <c r="L96" s="7" t="s">
        <v>24</v>
      </c>
      <c r="M96" s="7"/>
      <c r="N96" s="12" t="s">
        <v>25</v>
      </c>
      <c r="O96" s="8"/>
      <c r="P96" s="11" t="s">
        <v>22</v>
      </c>
      <c r="Q96" s="11"/>
      <c r="R96" s="11"/>
      <c r="S96" s="11"/>
      <c r="T96" s="10" t="s">
        <v>23</v>
      </c>
      <c r="U96" s="10"/>
      <c r="V96" s="10"/>
      <c r="W96" s="10"/>
      <c r="X96" s="10" t="s">
        <v>24</v>
      </c>
      <c r="Y96" s="10"/>
      <c r="Z96" s="10"/>
      <c r="AA96" s="10"/>
      <c r="AB96" s="10" t="s">
        <v>22</v>
      </c>
      <c r="AC96" s="10"/>
      <c r="AD96" s="10"/>
      <c r="AE96" s="10"/>
      <c r="AF96" s="10" t="s">
        <v>23</v>
      </c>
      <c r="AG96" s="10"/>
      <c r="AH96" s="10"/>
      <c r="AI96" s="10"/>
      <c r="AJ96" s="10" t="s">
        <v>24</v>
      </c>
      <c r="AK96" s="10"/>
      <c r="AL96" s="10"/>
      <c r="AM96" s="10"/>
      <c r="AN96" s="7" t="s">
        <v>22</v>
      </c>
      <c r="AO96" s="7"/>
      <c r="AP96" s="7"/>
      <c r="AQ96" s="7"/>
      <c r="AR96" s="7" t="s">
        <v>23</v>
      </c>
      <c r="AS96" s="7"/>
      <c r="AT96" s="7"/>
      <c r="AU96" s="7"/>
      <c r="AV96" s="7" t="s">
        <v>24</v>
      </c>
      <c r="AW96" s="7"/>
      <c r="AX96" s="7"/>
      <c r="AY96" s="7"/>
      <c r="AZ96" s="7" t="s">
        <v>22</v>
      </c>
      <c r="BA96" s="7"/>
      <c r="BB96" s="7"/>
      <c r="BC96" s="7"/>
      <c r="BD96" s="7" t="s">
        <v>23</v>
      </c>
      <c r="BE96" s="7"/>
      <c r="BF96" s="7"/>
      <c r="BG96" s="7"/>
      <c r="BH96" s="7" t="s">
        <v>24</v>
      </c>
      <c r="BI96" s="7"/>
      <c r="BJ96" s="7"/>
      <c r="BK96" s="7"/>
      <c r="BL96" s="7" t="s">
        <v>26</v>
      </c>
      <c r="BM96" s="7"/>
      <c r="BN96" s="7"/>
      <c r="BO96" s="7"/>
      <c r="BP96" s="7" t="s">
        <v>27</v>
      </c>
      <c r="BQ96" s="7"/>
      <c r="BR96" s="7"/>
      <c r="BS96" s="7" t="s">
        <v>28</v>
      </c>
      <c r="BT96" s="7"/>
      <c r="BU96" s="7"/>
    </row>
    <row r="97" customFormat="false" ht="27" hidden="false" customHeight="true" outlineLevel="0" collapsed="false">
      <c r="A97" s="7"/>
      <c r="B97" s="8"/>
      <c r="C97" s="8"/>
      <c r="D97" s="9"/>
      <c r="E97" s="9"/>
      <c r="F97" s="9"/>
      <c r="G97" s="9"/>
      <c r="H97" s="7" t="s">
        <v>29</v>
      </c>
      <c r="I97" s="7" t="s">
        <v>30</v>
      </c>
      <c r="J97" s="7" t="s">
        <v>29</v>
      </c>
      <c r="K97" s="7" t="s">
        <v>30</v>
      </c>
      <c r="L97" s="7" t="s">
        <v>29</v>
      </c>
      <c r="M97" s="7" t="s">
        <v>30</v>
      </c>
      <c r="N97" s="12"/>
      <c r="O97" s="8"/>
      <c r="P97" s="11" t="s">
        <v>29</v>
      </c>
      <c r="Q97" s="11"/>
      <c r="R97" s="10" t="s">
        <v>30</v>
      </c>
      <c r="S97" s="10"/>
      <c r="T97" s="10" t="s">
        <v>29</v>
      </c>
      <c r="U97" s="10"/>
      <c r="V97" s="10" t="s">
        <v>30</v>
      </c>
      <c r="W97" s="10"/>
      <c r="X97" s="10" t="s">
        <v>29</v>
      </c>
      <c r="Y97" s="10"/>
      <c r="Z97" s="10" t="s">
        <v>30</v>
      </c>
      <c r="AA97" s="10"/>
      <c r="AB97" s="10" t="s">
        <v>29</v>
      </c>
      <c r="AC97" s="10"/>
      <c r="AD97" s="10" t="s">
        <v>30</v>
      </c>
      <c r="AE97" s="10"/>
      <c r="AF97" s="10" t="s">
        <v>29</v>
      </c>
      <c r="AG97" s="10"/>
      <c r="AH97" s="10" t="s">
        <v>30</v>
      </c>
      <c r="AI97" s="10"/>
      <c r="AJ97" s="10" t="s">
        <v>29</v>
      </c>
      <c r="AK97" s="10"/>
      <c r="AL97" s="10" t="s">
        <v>30</v>
      </c>
      <c r="AM97" s="10"/>
      <c r="AN97" s="13" t="s">
        <v>29</v>
      </c>
      <c r="AO97" s="13"/>
      <c r="AP97" s="13" t="s">
        <v>30</v>
      </c>
      <c r="AQ97" s="13"/>
      <c r="AR97" s="13" t="s">
        <v>29</v>
      </c>
      <c r="AS97" s="13"/>
      <c r="AT97" s="13" t="s">
        <v>30</v>
      </c>
      <c r="AU97" s="13"/>
      <c r="AV97" s="13" t="s">
        <v>29</v>
      </c>
      <c r="AW97" s="13"/>
      <c r="AX97" s="13" t="s">
        <v>30</v>
      </c>
      <c r="AY97" s="13"/>
      <c r="AZ97" s="14" t="s">
        <v>29</v>
      </c>
      <c r="BA97" s="14"/>
      <c r="BB97" s="14" t="s">
        <v>30</v>
      </c>
      <c r="BC97" s="14"/>
      <c r="BD97" s="14" t="s">
        <v>29</v>
      </c>
      <c r="BE97" s="14"/>
      <c r="BF97" s="14" t="s">
        <v>30</v>
      </c>
      <c r="BG97" s="14"/>
      <c r="BH97" s="14" t="s">
        <v>29</v>
      </c>
      <c r="BI97" s="14"/>
      <c r="BJ97" s="14" t="s">
        <v>30</v>
      </c>
      <c r="BK97" s="14"/>
      <c r="BL97" s="15" t="s">
        <v>29</v>
      </c>
      <c r="BM97" s="15" t="s">
        <v>30</v>
      </c>
      <c r="BN97" s="15" t="s">
        <v>31</v>
      </c>
      <c r="BO97" s="15" t="s">
        <v>32</v>
      </c>
      <c r="BP97" s="7" t="s">
        <v>33</v>
      </c>
      <c r="BQ97" s="7" t="s">
        <v>34</v>
      </c>
      <c r="BR97" s="7" t="s">
        <v>35</v>
      </c>
      <c r="BS97" s="7" t="s">
        <v>33</v>
      </c>
      <c r="BT97" s="7" t="s">
        <v>34</v>
      </c>
      <c r="BU97" s="7" t="s">
        <v>35</v>
      </c>
    </row>
    <row r="98" customFormat="false" ht="85.5" hidden="false" customHeight="true" outlineLevel="0" collapsed="false">
      <c r="A98" s="7"/>
      <c r="B98" s="8"/>
      <c r="C98" s="8"/>
      <c r="D98" s="9"/>
      <c r="E98" s="9"/>
      <c r="F98" s="9"/>
      <c r="G98" s="9"/>
      <c r="H98" s="7"/>
      <c r="I98" s="7"/>
      <c r="J98" s="7"/>
      <c r="K98" s="7"/>
      <c r="L98" s="7"/>
      <c r="M98" s="7"/>
      <c r="N98" s="12"/>
      <c r="O98" s="8"/>
      <c r="P98" s="16" t="s">
        <v>36</v>
      </c>
      <c r="Q98" s="17" t="s">
        <v>37</v>
      </c>
      <c r="R98" s="17" t="s">
        <v>36</v>
      </c>
      <c r="S98" s="17" t="s">
        <v>37</v>
      </c>
      <c r="T98" s="17" t="s">
        <v>36</v>
      </c>
      <c r="U98" s="17" t="s">
        <v>37</v>
      </c>
      <c r="V98" s="17" t="s">
        <v>36</v>
      </c>
      <c r="W98" s="17" t="s">
        <v>37</v>
      </c>
      <c r="X98" s="17" t="s">
        <v>36</v>
      </c>
      <c r="Y98" s="17" t="s">
        <v>37</v>
      </c>
      <c r="Z98" s="17" t="s">
        <v>36</v>
      </c>
      <c r="AA98" s="17" t="s">
        <v>37</v>
      </c>
      <c r="AB98" s="17" t="s">
        <v>36</v>
      </c>
      <c r="AC98" s="17" t="s">
        <v>37</v>
      </c>
      <c r="AD98" s="17" t="s">
        <v>36</v>
      </c>
      <c r="AE98" s="17" t="s">
        <v>37</v>
      </c>
      <c r="AF98" s="17" t="s">
        <v>36</v>
      </c>
      <c r="AG98" s="17" t="s">
        <v>37</v>
      </c>
      <c r="AH98" s="17" t="s">
        <v>36</v>
      </c>
      <c r="AI98" s="17" t="s">
        <v>37</v>
      </c>
      <c r="AJ98" s="17" t="s">
        <v>36</v>
      </c>
      <c r="AK98" s="17" t="s">
        <v>37</v>
      </c>
      <c r="AL98" s="17" t="s">
        <v>36</v>
      </c>
      <c r="AM98" s="17" t="s">
        <v>37</v>
      </c>
      <c r="AN98" s="18" t="s">
        <v>38</v>
      </c>
      <c r="AO98" s="18" t="s">
        <v>39</v>
      </c>
      <c r="AP98" s="18" t="s">
        <v>38</v>
      </c>
      <c r="AQ98" s="18" t="s">
        <v>39</v>
      </c>
      <c r="AR98" s="18" t="s">
        <v>38</v>
      </c>
      <c r="AS98" s="18" t="s">
        <v>39</v>
      </c>
      <c r="AT98" s="18" t="s">
        <v>38</v>
      </c>
      <c r="AU98" s="18" t="s">
        <v>39</v>
      </c>
      <c r="AV98" s="18" t="s">
        <v>38</v>
      </c>
      <c r="AW98" s="18" t="s">
        <v>39</v>
      </c>
      <c r="AX98" s="18" t="s">
        <v>38</v>
      </c>
      <c r="AY98" s="18" t="s">
        <v>39</v>
      </c>
      <c r="AZ98" s="19" t="s">
        <v>40</v>
      </c>
      <c r="BA98" s="20" t="s">
        <v>41</v>
      </c>
      <c r="BB98" s="19" t="s">
        <v>40</v>
      </c>
      <c r="BC98" s="20" t="s">
        <v>41</v>
      </c>
      <c r="BD98" s="19" t="s">
        <v>40</v>
      </c>
      <c r="BE98" s="20" t="s">
        <v>41</v>
      </c>
      <c r="BF98" s="19" t="s">
        <v>40</v>
      </c>
      <c r="BG98" s="20" t="s">
        <v>41</v>
      </c>
      <c r="BH98" s="19" t="s">
        <v>40</v>
      </c>
      <c r="BI98" s="20" t="s">
        <v>41</v>
      </c>
      <c r="BJ98" s="19" t="s">
        <v>40</v>
      </c>
      <c r="BK98" s="20" t="s">
        <v>41</v>
      </c>
      <c r="BL98" s="21" t="s">
        <v>41</v>
      </c>
      <c r="BM98" s="21" t="s">
        <v>41</v>
      </c>
      <c r="BN98" s="15"/>
      <c r="BO98" s="15"/>
      <c r="BP98" s="7"/>
      <c r="BQ98" s="7"/>
      <c r="BR98" s="7"/>
      <c r="BS98" s="7"/>
      <c r="BT98" s="7"/>
      <c r="BU98" s="7"/>
    </row>
    <row r="99" customFormat="false" ht="13.5" hidden="false" customHeight="true" outlineLevel="0" collapsed="false">
      <c r="A99" s="22" t="n">
        <v>1</v>
      </c>
      <c r="B99" s="23" t="n">
        <v>2</v>
      </c>
      <c r="C99" s="23" t="n">
        <f aca="false">+B99+1</f>
        <v>3</v>
      </c>
      <c r="D99" s="23" t="n">
        <v>4</v>
      </c>
      <c r="E99" s="23" t="n">
        <v>5</v>
      </c>
      <c r="F99" s="23" t="n">
        <v>6</v>
      </c>
      <c r="G99" s="23" t="n">
        <v>7</v>
      </c>
      <c r="H99" s="24" t="n">
        <v>8</v>
      </c>
      <c r="I99" s="24"/>
      <c r="J99" s="24"/>
      <c r="K99" s="24"/>
      <c r="L99" s="24"/>
      <c r="M99" s="24"/>
      <c r="N99" s="25" t="n">
        <v>9</v>
      </c>
      <c r="O99" s="24" t="n">
        <v>10</v>
      </c>
      <c r="P99" s="24" t="n">
        <v>11</v>
      </c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3" t="n">
        <v>12</v>
      </c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13" t="n">
        <v>13</v>
      </c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4" t="n">
        <v>14</v>
      </c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5" t="n">
        <v>15</v>
      </c>
      <c r="BM99" s="15"/>
      <c r="BN99" s="15"/>
      <c r="BO99" s="15"/>
      <c r="BP99" s="24" t="n">
        <v>16</v>
      </c>
      <c r="BQ99" s="24"/>
      <c r="BR99" s="24"/>
      <c r="BS99" s="24" t="n">
        <v>17</v>
      </c>
      <c r="BT99" s="24"/>
      <c r="BU99" s="24"/>
    </row>
    <row r="100" customFormat="false" ht="32.25" hidden="false" customHeight="true" outlineLevel="0" collapsed="false">
      <c r="A100" s="27" t="n">
        <v>1</v>
      </c>
      <c r="B100" s="28" t="s">
        <v>42</v>
      </c>
      <c r="C100" s="10" t="n">
        <v>3</v>
      </c>
      <c r="D100" s="10" t="n">
        <v>0</v>
      </c>
      <c r="E100" s="10" t="n">
        <v>3</v>
      </c>
      <c r="F100" s="10" t="n">
        <v>0</v>
      </c>
      <c r="G100" s="10" t="n">
        <v>0</v>
      </c>
      <c r="H100" s="29" t="n">
        <v>200</v>
      </c>
      <c r="I100" s="29" t="n">
        <v>243</v>
      </c>
      <c r="J100" s="30" t="n">
        <v>180</v>
      </c>
      <c r="K100" s="30" t="n">
        <v>209</v>
      </c>
      <c r="L100" s="30" t="n">
        <v>110</v>
      </c>
      <c r="M100" s="30" t="n">
        <v>117</v>
      </c>
      <c r="N100" s="31" t="n">
        <f aca="false">SUM(J100:M100)</f>
        <v>616</v>
      </c>
      <c r="O100" s="32" t="n">
        <v>0</v>
      </c>
      <c r="P100" s="33" t="n">
        <f aca="false">P78+Q78</f>
        <v>60</v>
      </c>
      <c r="Q100" s="33" t="n">
        <v>4</v>
      </c>
      <c r="R100" s="33" t="n">
        <f aca="false">R78+S78</f>
        <v>150</v>
      </c>
      <c r="S100" s="33"/>
      <c r="T100" s="33" t="n">
        <f aca="false">T78+U78</f>
        <v>37</v>
      </c>
      <c r="U100" s="34" t="n">
        <v>8</v>
      </c>
      <c r="V100" s="33" t="n">
        <f aca="false">V78+W78</f>
        <v>69</v>
      </c>
      <c r="W100" s="34" t="n">
        <v>8</v>
      </c>
      <c r="X100" s="33" t="n">
        <f aca="false">X78+Y78</f>
        <v>57</v>
      </c>
      <c r="Y100" s="34" t="n">
        <v>12</v>
      </c>
      <c r="Z100" s="33" t="n">
        <f aca="false">Z78+AA78</f>
        <v>45</v>
      </c>
      <c r="AA100" s="34" t="n">
        <v>9</v>
      </c>
      <c r="AB100" s="33" t="n">
        <f aca="false">AB78+AC78</f>
        <v>21</v>
      </c>
      <c r="AC100" s="33" t="n">
        <v>5</v>
      </c>
      <c r="AD100" s="33" t="n">
        <f aca="false">AD78+AE78</f>
        <v>31</v>
      </c>
      <c r="AE100" s="33" t="n">
        <v>11</v>
      </c>
      <c r="AF100" s="33" t="n">
        <f aca="false">AF78+AG78</f>
        <v>33</v>
      </c>
      <c r="AG100" s="34" t="n">
        <v>9</v>
      </c>
      <c r="AH100" s="33" t="n">
        <f aca="false">AH78+AI78</f>
        <v>38</v>
      </c>
      <c r="AI100" s="34" t="n">
        <v>10</v>
      </c>
      <c r="AJ100" s="33" t="n">
        <f aca="false">AJ78+AK78</f>
        <v>6</v>
      </c>
      <c r="AK100" s="34" t="n">
        <v>5</v>
      </c>
      <c r="AL100" s="33" t="n">
        <f aca="false">AL78+AM78</f>
        <v>11</v>
      </c>
      <c r="AM100" s="34" t="n">
        <v>6</v>
      </c>
      <c r="AN100" s="35" t="n">
        <f aca="false">P100+AB100</f>
        <v>81</v>
      </c>
      <c r="AO100" s="35" t="n">
        <f aca="false">Q100+AC100</f>
        <v>9</v>
      </c>
      <c r="AP100" s="35" t="n">
        <f aca="false">R100+AD100</f>
        <v>181</v>
      </c>
      <c r="AQ100" s="35" t="n">
        <f aca="false">S100+AE100</f>
        <v>11</v>
      </c>
      <c r="AR100" s="35" t="n">
        <f aca="false">T100+AF100</f>
        <v>70</v>
      </c>
      <c r="AS100" s="35" t="n">
        <f aca="false">U100+AG100</f>
        <v>17</v>
      </c>
      <c r="AT100" s="35" t="n">
        <f aca="false">V100+AH100</f>
        <v>107</v>
      </c>
      <c r="AU100" s="35" t="n">
        <f aca="false">W100+AI100</f>
        <v>18</v>
      </c>
      <c r="AV100" s="35" t="n">
        <f aca="false">X100+AJ100</f>
        <v>63</v>
      </c>
      <c r="AW100" s="35" t="n">
        <f aca="false">Y100+AK100</f>
        <v>17</v>
      </c>
      <c r="AX100" s="35" t="n">
        <f aca="false">Z100+AL100</f>
        <v>56</v>
      </c>
      <c r="AY100" s="35" t="n">
        <f aca="false">AA100+AM100</f>
        <v>15</v>
      </c>
      <c r="AZ100" s="36" t="n">
        <f aca="false">AO100</f>
        <v>9</v>
      </c>
      <c r="BA100" s="36" t="n">
        <f aca="false">SUM(AN100:AO100)</f>
        <v>90</v>
      </c>
      <c r="BB100" s="36" t="n">
        <f aca="false">S100+AE100</f>
        <v>11</v>
      </c>
      <c r="BC100" s="36" t="n">
        <f aca="false">SUM(AP100:AQ100)</f>
        <v>192</v>
      </c>
      <c r="BD100" s="36" t="n">
        <f aca="false">U100+AG100</f>
        <v>17</v>
      </c>
      <c r="BE100" s="36" t="n">
        <f aca="false">SUM(AR100:AS100)</f>
        <v>87</v>
      </c>
      <c r="BF100" s="36" t="n">
        <f aca="false">W100+AI100</f>
        <v>18</v>
      </c>
      <c r="BG100" s="36" t="n">
        <f aca="false">SUM(AT100:AU100)</f>
        <v>125</v>
      </c>
      <c r="BH100" s="36" t="n">
        <f aca="false">Y100+AK100</f>
        <v>17</v>
      </c>
      <c r="BI100" s="36" t="n">
        <f aca="false">SUM(AV100:AW100)</f>
        <v>80</v>
      </c>
      <c r="BJ100" s="36" t="n">
        <f aca="false">AA100+AM100</f>
        <v>15</v>
      </c>
      <c r="BK100" s="36" t="n">
        <f aca="false">SUM(AX100:AY100)</f>
        <v>71</v>
      </c>
      <c r="BL100" s="37" t="n">
        <f aca="false">BE100+BI100</f>
        <v>167</v>
      </c>
      <c r="BM100" s="37" t="n">
        <f aca="false">BG100+BK100</f>
        <v>196</v>
      </c>
      <c r="BN100" s="38" t="n">
        <f aca="false">BL100+BM100</f>
        <v>363</v>
      </c>
      <c r="BO100" s="39" t="n">
        <f aca="false">BN100/N100*100</f>
        <v>58.9285714285714</v>
      </c>
      <c r="BP100" s="10" t="n">
        <v>32</v>
      </c>
      <c r="BQ100" s="10" t="n">
        <v>0</v>
      </c>
      <c r="BR100" s="10" t="n">
        <v>0</v>
      </c>
      <c r="BS100" s="10" t="n">
        <v>21</v>
      </c>
      <c r="BT100" s="10" t="n">
        <v>0</v>
      </c>
      <c r="BU100" s="10" t="n">
        <v>0</v>
      </c>
    </row>
    <row r="101" customFormat="false" ht="32.25" hidden="false" customHeight="true" outlineLevel="0" collapsed="false">
      <c r="A101" s="27" t="n">
        <v>2</v>
      </c>
      <c r="B101" s="28" t="s">
        <v>43</v>
      </c>
      <c r="C101" s="10" t="n">
        <v>3</v>
      </c>
      <c r="D101" s="10" t="n">
        <v>0</v>
      </c>
      <c r="E101" s="10" t="n">
        <v>3</v>
      </c>
      <c r="F101" s="10" t="n">
        <v>0</v>
      </c>
      <c r="G101" s="10" t="n">
        <v>0</v>
      </c>
      <c r="H101" s="29" t="n">
        <v>385</v>
      </c>
      <c r="I101" s="29" t="n">
        <v>393</v>
      </c>
      <c r="J101" s="30" t="n">
        <v>165</v>
      </c>
      <c r="K101" s="30" t="n">
        <v>177</v>
      </c>
      <c r="L101" s="30" t="n">
        <v>95</v>
      </c>
      <c r="M101" s="30" t="n">
        <v>104</v>
      </c>
      <c r="N101" s="31" t="n">
        <f aca="false">SUM(J101:M101)</f>
        <v>541</v>
      </c>
      <c r="O101" s="32" t="n">
        <v>0</v>
      </c>
      <c r="P101" s="33" t="n">
        <f aca="false">P79+Q79</f>
        <v>35</v>
      </c>
      <c r="Q101" s="33" t="n">
        <v>13</v>
      </c>
      <c r="R101" s="33" t="n">
        <f aca="false">R79+S79</f>
        <v>126</v>
      </c>
      <c r="S101" s="33" t="n">
        <v>4</v>
      </c>
      <c r="T101" s="33" t="n">
        <f aca="false">T79+U79</f>
        <v>60</v>
      </c>
      <c r="U101" s="34" t="n">
        <v>3</v>
      </c>
      <c r="V101" s="33" t="n">
        <f aca="false">V79+W79</f>
        <v>67</v>
      </c>
      <c r="W101" s="34" t="n">
        <v>4</v>
      </c>
      <c r="X101" s="33" t="n">
        <f aca="false">X79+Y79</f>
        <v>35</v>
      </c>
      <c r="Y101" s="34" t="n">
        <v>2</v>
      </c>
      <c r="Z101" s="33" t="n">
        <f aca="false">Z79+AA79</f>
        <v>38</v>
      </c>
      <c r="AA101" s="34" t="n">
        <v>3</v>
      </c>
      <c r="AB101" s="33" t="n">
        <f aca="false">AB79+AC79</f>
        <v>18</v>
      </c>
      <c r="AC101" s="33" t="n">
        <v>3</v>
      </c>
      <c r="AD101" s="33" t="n">
        <f aca="false">AD79+AE79</f>
        <v>32</v>
      </c>
      <c r="AE101" s="33" t="n">
        <v>4</v>
      </c>
      <c r="AF101" s="33" t="n">
        <f aca="false">AF79+AG79</f>
        <v>14</v>
      </c>
      <c r="AG101" s="34" t="n">
        <v>2</v>
      </c>
      <c r="AH101" s="33" t="n">
        <f aca="false">AH79+AI79</f>
        <v>21</v>
      </c>
      <c r="AI101" s="34" t="n">
        <v>3</v>
      </c>
      <c r="AJ101" s="33" t="n">
        <f aca="false">AJ79+AK79</f>
        <v>9</v>
      </c>
      <c r="AK101" s="34" t="n">
        <v>2</v>
      </c>
      <c r="AL101" s="33" t="n">
        <f aca="false">AL79+AM79</f>
        <v>14</v>
      </c>
      <c r="AM101" s="34" t="n">
        <v>3</v>
      </c>
      <c r="AN101" s="35" t="n">
        <f aca="false">P101+AB101</f>
        <v>53</v>
      </c>
      <c r="AO101" s="35" t="n">
        <f aca="false">Q101+AC101</f>
        <v>16</v>
      </c>
      <c r="AP101" s="35" t="n">
        <f aca="false">R101+AD101</f>
        <v>158</v>
      </c>
      <c r="AQ101" s="35" t="n">
        <f aca="false">S101+AE101</f>
        <v>8</v>
      </c>
      <c r="AR101" s="35" t="n">
        <f aca="false">T101+AF101</f>
        <v>74</v>
      </c>
      <c r="AS101" s="35" t="n">
        <f aca="false">U101+AG101</f>
        <v>5</v>
      </c>
      <c r="AT101" s="35" t="n">
        <f aca="false">V101+AH101</f>
        <v>88</v>
      </c>
      <c r="AU101" s="35" t="n">
        <f aca="false">W101+AI101</f>
        <v>7</v>
      </c>
      <c r="AV101" s="35" t="n">
        <f aca="false">X101+AJ101</f>
        <v>44</v>
      </c>
      <c r="AW101" s="35" t="n">
        <f aca="false">Y101+AK101</f>
        <v>4</v>
      </c>
      <c r="AX101" s="35" t="n">
        <f aca="false">Z101+AL101</f>
        <v>52</v>
      </c>
      <c r="AY101" s="35" t="n">
        <f aca="false">AA101+AM101</f>
        <v>6</v>
      </c>
      <c r="AZ101" s="36" t="n">
        <f aca="false">AO101</f>
        <v>16</v>
      </c>
      <c r="BA101" s="36" t="n">
        <f aca="false">SUM(AN101:AO101)</f>
        <v>69</v>
      </c>
      <c r="BB101" s="36" t="n">
        <f aca="false">S101+AE101</f>
        <v>8</v>
      </c>
      <c r="BC101" s="36" t="n">
        <f aca="false">SUM(AP101:AQ101)</f>
        <v>166</v>
      </c>
      <c r="BD101" s="36" t="n">
        <f aca="false">U101+AG101</f>
        <v>5</v>
      </c>
      <c r="BE101" s="36" t="n">
        <f aca="false">SUM(AR101:AS101)</f>
        <v>79</v>
      </c>
      <c r="BF101" s="36" t="n">
        <f aca="false">W101+AI101</f>
        <v>7</v>
      </c>
      <c r="BG101" s="36" t="n">
        <f aca="false">SUM(AT101:AU101)</f>
        <v>95</v>
      </c>
      <c r="BH101" s="36" t="n">
        <f aca="false">Y101+AK101</f>
        <v>4</v>
      </c>
      <c r="BI101" s="36" t="n">
        <f aca="false">SUM(AV101:AW101)</f>
        <v>48</v>
      </c>
      <c r="BJ101" s="36" t="n">
        <f aca="false">AA101+AM101</f>
        <v>6</v>
      </c>
      <c r="BK101" s="36" t="n">
        <f aca="false">SUM(AX101:AY101)</f>
        <v>58</v>
      </c>
      <c r="BL101" s="37" t="n">
        <f aca="false">BE101+BI101</f>
        <v>127</v>
      </c>
      <c r="BM101" s="37" t="n">
        <f aca="false">BG101+BK101</f>
        <v>153</v>
      </c>
      <c r="BN101" s="38" t="n">
        <f aca="false">BL101+BM101</f>
        <v>280</v>
      </c>
      <c r="BO101" s="39" t="n">
        <f aca="false">BN101/N101*100</f>
        <v>51.7560073937153</v>
      </c>
      <c r="BP101" s="10" t="n">
        <v>30</v>
      </c>
      <c r="BQ101" s="10" t="n">
        <v>0</v>
      </c>
      <c r="BR101" s="10" t="n">
        <v>0</v>
      </c>
      <c r="BS101" s="10" t="n">
        <v>21</v>
      </c>
      <c r="BT101" s="10" t="n">
        <v>0</v>
      </c>
      <c r="BU101" s="10" t="n">
        <v>0</v>
      </c>
    </row>
    <row r="102" customFormat="false" ht="32.25" hidden="false" customHeight="true" outlineLevel="0" collapsed="false">
      <c r="A102" s="27" t="n">
        <v>3</v>
      </c>
      <c r="B102" s="28" t="s">
        <v>44</v>
      </c>
      <c r="C102" s="10" t="n">
        <v>2</v>
      </c>
      <c r="D102" s="10" t="n">
        <v>0</v>
      </c>
      <c r="E102" s="10" t="n">
        <v>2</v>
      </c>
      <c r="F102" s="10" t="n">
        <v>0</v>
      </c>
      <c r="G102" s="10" t="n">
        <v>0</v>
      </c>
      <c r="H102" s="29" t="n">
        <v>178</v>
      </c>
      <c r="I102" s="29" t="n">
        <v>178</v>
      </c>
      <c r="J102" s="30" t="n">
        <v>70</v>
      </c>
      <c r="K102" s="30" t="n">
        <v>87</v>
      </c>
      <c r="L102" s="30" t="n">
        <v>45</v>
      </c>
      <c r="M102" s="30" t="n">
        <v>46</v>
      </c>
      <c r="N102" s="31" t="n">
        <f aca="false">SUM(J102:M102)</f>
        <v>248</v>
      </c>
      <c r="O102" s="32" t="n">
        <v>0</v>
      </c>
      <c r="P102" s="33" t="n">
        <f aca="false">P80+Q80</f>
        <v>16</v>
      </c>
      <c r="Q102" s="33" t="n">
        <v>3</v>
      </c>
      <c r="R102" s="33" t="n">
        <f aca="false">R80+S80</f>
        <v>48</v>
      </c>
      <c r="S102" s="33"/>
      <c r="T102" s="33" t="n">
        <f aca="false">T80+U80</f>
        <v>21</v>
      </c>
      <c r="U102" s="34"/>
      <c r="V102" s="33" t="n">
        <f aca="false">V80+W80</f>
        <v>19</v>
      </c>
      <c r="W102" s="34"/>
      <c r="X102" s="33" t="n">
        <f aca="false">X80+Y80</f>
        <v>6</v>
      </c>
      <c r="Y102" s="34"/>
      <c r="Z102" s="33" t="n">
        <f aca="false">Z80+AA80</f>
        <v>11</v>
      </c>
      <c r="AA102" s="34"/>
      <c r="AB102" s="33" t="n">
        <f aca="false">AB80+AC80</f>
        <v>4</v>
      </c>
      <c r="AC102" s="33"/>
      <c r="AD102" s="33" t="n">
        <f aca="false">AD80+AE80</f>
        <v>7</v>
      </c>
      <c r="AE102" s="33"/>
      <c r="AF102" s="33" t="n">
        <f aca="false">AF80+AG80</f>
        <v>1</v>
      </c>
      <c r="AG102" s="34"/>
      <c r="AH102" s="33" t="n">
        <f aca="false">AH80+AI80</f>
        <v>6</v>
      </c>
      <c r="AI102" s="34"/>
      <c r="AJ102" s="33" t="n">
        <f aca="false">AJ80+AK80</f>
        <v>0</v>
      </c>
      <c r="AK102" s="34"/>
      <c r="AL102" s="33" t="n">
        <f aca="false">AL80+AM80</f>
        <v>4</v>
      </c>
      <c r="AM102" s="34"/>
      <c r="AN102" s="35" t="n">
        <f aca="false">P102+AB102</f>
        <v>20</v>
      </c>
      <c r="AO102" s="35" t="n">
        <f aca="false">Q102+AC102</f>
        <v>3</v>
      </c>
      <c r="AP102" s="35" t="n">
        <f aca="false">R102+AD102</f>
        <v>55</v>
      </c>
      <c r="AQ102" s="35" t="n">
        <f aca="false">S102+AE102</f>
        <v>0</v>
      </c>
      <c r="AR102" s="35" t="n">
        <f aca="false">T102+AF102</f>
        <v>22</v>
      </c>
      <c r="AS102" s="35" t="n">
        <f aca="false">U102+AG102</f>
        <v>0</v>
      </c>
      <c r="AT102" s="35" t="n">
        <f aca="false">V102+AH102</f>
        <v>25</v>
      </c>
      <c r="AU102" s="35" t="n">
        <f aca="false">W102+AI102</f>
        <v>0</v>
      </c>
      <c r="AV102" s="35" t="n">
        <f aca="false">X102+AJ102</f>
        <v>6</v>
      </c>
      <c r="AW102" s="35" t="n">
        <f aca="false">Y102+AK102</f>
        <v>0</v>
      </c>
      <c r="AX102" s="35" t="n">
        <f aca="false">Z102+AL102</f>
        <v>15</v>
      </c>
      <c r="AY102" s="35" t="n">
        <f aca="false">AA102+AM102</f>
        <v>0</v>
      </c>
      <c r="AZ102" s="36" t="n">
        <f aca="false">AO102</f>
        <v>3</v>
      </c>
      <c r="BA102" s="36" t="n">
        <f aca="false">SUM(AN102:AO102)</f>
        <v>23</v>
      </c>
      <c r="BB102" s="36" t="n">
        <f aca="false">S102+AE102</f>
        <v>0</v>
      </c>
      <c r="BC102" s="36" t="n">
        <f aca="false">SUM(AP102:AQ102)</f>
        <v>55</v>
      </c>
      <c r="BD102" s="36" t="n">
        <f aca="false">U102+AG102</f>
        <v>0</v>
      </c>
      <c r="BE102" s="36" t="n">
        <f aca="false">SUM(AR102:AS102)</f>
        <v>22</v>
      </c>
      <c r="BF102" s="36" t="n">
        <f aca="false">W102+AI102</f>
        <v>0</v>
      </c>
      <c r="BG102" s="36" t="n">
        <f aca="false">SUM(AT102:AU102)</f>
        <v>25</v>
      </c>
      <c r="BH102" s="36" t="n">
        <f aca="false">Y102+AK102</f>
        <v>0</v>
      </c>
      <c r="BI102" s="36" t="n">
        <f aca="false">SUM(AV102:AW102)</f>
        <v>6</v>
      </c>
      <c r="BJ102" s="36" t="n">
        <f aca="false">AA102+AM102</f>
        <v>0</v>
      </c>
      <c r="BK102" s="36" t="n">
        <f aca="false">SUM(AX102:AY102)</f>
        <v>15</v>
      </c>
      <c r="BL102" s="37" t="n">
        <f aca="false">BE102+BI102</f>
        <v>28</v>
      </c>
      <c r="BM102" s="37" t="n">
        <f aca="false">BG102+BK102</f>
        <v>40</v>
      </c>
      <c r="BN102" s="38" t="n">
        <f aca="false">BL102+BM102</f>
        <v>68</v>
      </c>
      <c r="BO102" s="39" t="n">
        <f aca="false">BN102/N102*100</f>
        <v>27.4193548387097</v>
      </c>
      <c r="BP102" s="10" t="n">
        <v>1</v>
      </c>
      <c r="BQ102" s="10" t="n">
        <v>0</v>
      </c>
      <c r="BR102" s="10" t="n">
        <v>0</v>
      </c>
      <c r="BS102" s="10" t="n">
        <v>0</v>
      </c>
      <c r="BT102" s="10" t="n">
        <v>0</v>
      </c>
      <c r="BU102" s="10" t="n">
        <v>0</v>
      </c>
    </row>
    <row r="103" customFormat="false" ht="32.25" hidden="false" customHeight="true" outlineLevel="0" collapsed="false">
      <c r="A103" s="27" t="n">
        <v>4</v>
      </c>
      <c r="B103" s="28" t="s">
        <v>45</v>
      </c>
      <c r="C103" s="10" t="n">
        <v>2</v>
      </c>
      <c r="D103" s="10" t="n">
        <v>0</v>
      </c>
      <c r="E103" s="10" t="n">
        <v>2</v>
      </c>
      <c r="F103" s="10" t="n">
        <v>0</v>
      </c>
      <c r="G103" s="10" t="n">
        <v>0</v>
      </c>
      <c r="H103" s="29" t="n">
        <v>245</v>
      </c>
      <c r="I103" s="29" t="n">
        <v>248</v>
      </c>
      <c r="J103" s="30" t="n">
        <v>100</v>
      </c>
      <c r="K103" s="30" t="n">
        <v>117</v>
      </c>
      <c r="L103" s="30" t="n">
        <v>60</v>
      </c>
      <c r="M103" s="30" t="n">
        <v>66</v>
      </c>
      <c r="N103" s="31" t="n">
        <f aca="false">SUM(J103:M103)</f>
        <v>343</v>
      </c>
      <c r="O103" s="32" t="n">
        <v>0</v>
      </c>
      <c r="P103" s="33" t="n">
        <f aca="false">P81+Q81</f>
        <v>16</v>
      </c>
      <c r="Q103" s="42" t="n">
        <v>10</v>
      </c>
      <c r="R103" s="33" t="n">
        <f aca="false">R81+S81</f>
        <v>57</v>
      </c>
      <c r="S103" s="33"/>
      <c r="T103" s="33" t="n">
        <f aca="false">T81+U81</f>
        <v>12</v>
      </c>
      <c r="U103" s="34" t="n">
        <v>6</v>
      </c>
      <c r="V103" s="33" t="n">
        <f aca="false">V81+W81</f>
        <v>42</v>
      </c>
      <c r="W103" s="34" t="n">
        <v>8</v>
      </c>
      <c r="X103" s="33" t="n">
        <f aca="false">X81+Y81</f>
        <v>11</v>
      </c>
      <c r="Y103" s="34" t="n">
        <v>5</v>
      </c>
      <c r="Z103" s="33" t="n">
        <f aca="false">Z81+AA81</f>
        <v>18</v>
      </c>
      <c r="AA103" s="34" t="n">
        <v>5</v>
      </c>
      <c r="AB103" s="33" t="n">
        <f aca="false">AB81+AC81</f>
        <v>21</v>
      </c>
      <c r="AC103" s="43" t="n">
        <v>8</v>
      </c>
      <c r="AD103" s="33" t="n">
        <f aca="false">AD81+AE81</f>
        <v>24</v>
      </c>
      <c r="AE103" s="33" t="n">
        <v>6</v>
      </c>
      <c r="AF103" s="33" t="n">
        <f aca="false">AF81+AG81</f>
        <v>24</v>
      </c>
      <c r="AG103" s="34" t="n">
        <v>6</v>
      </c>
      <c r="AH103" s="33" t="n">
        <f aca="false">AH81+AI81</f>
        <v>35</v>
      </c>
      <c r="AI103" s="34" t="n">
        <v>9</v>
      </c>
      <c r="AJ103" s="33" t="n">
        <f aca="false">AJ81+AK81</f>
        <v>23</v>
      </c>
      <c r="AK103" s="34" t="n">
        <v>7</v>
      </c>
      <c r="AL103" s="33" t="n">
        <f aca="false">AL81+AM81</f>
        <v>28</v>
      </c>
      <c r="AM103" s="34" t="n">
        <v>7</v>
      </c>
      <c r="AN103" s="35" t="n">
        <f aca="false">P103+AB103</f>
        <v>37</v>
      </c>
      <c r="AO103" s="35" t="n">
        <f aca="false">Q103+AC103</f>
        <v>18</v>
      </c>
      <c r="AP103" s="35" t="n">
        <f aca="false">R103+AD103</f>
        <v>81</v>
      </c>
      <c r="AQ103" s="35" t="n">
        <f aca="false">S103+AE103</f>
        <v>6</v>
      </c>
      <c r="AR103" s="35" t="n">
        <f aca="false">T103+AF103</f>
        <v>36</v>
      </c>
      <c r="AS103" s="35" t="n">
        <f aca="false">U103+AG103</f>
        <v>12</v>
      </c>
      <c r="AT103" s="35" t="n">
        <f aca="false">V103+AH103</f>
        <v>77</v>
      </c>
      <c r="AU103" s="35" t="n">
        <f aca="false">W103+AI103</f>
        <v>17</v>
      </c>
      <c r="AV103" s="35" t="n">
        <f aca="false">X103+AJ103</f>
        <v>34</v>
      </c>
      <c r="AW103" s="35" t="n">
        <f aca="false">Y103+AK103</f>
        <v>12</v>
      </c>
      <c r="AX103" s="35" t="n">
        <f aca="false">Z103+AL103</f>
        <v>46</v>
      </c>
      <c r="AY103" s="35" t="n">
        <f aca="false">AA103+AM103</f>
        <v>12</v>
      </c>
      <c r="AZ103" s="36" t="n">
        <f aca="false">AO103</f>
        <v>18</v>
      </c>
      <c r="BA103" s="36" t="n">
        <f aca="false">SUM(AN103:AO103)</f>
        <v>55</v>
      </c>
      <c r="BB103" s="36" t="n">
        <f aca="false">S103+AE103</f>
        <v>6</v>
      </c>
      <c r="BC103" s="36" t="n">
        <f aca="false">SUM(AP103:AQ103)</f>
        <v>87</v>
      </c>
      <c r="BD103" s="36" t="n">
        <f aca="false">U103+AG103</f>
        <v>12</v>
      </c>
      <c r="BE103" s="36" t="n">
        <f aca="false">SUM(AR103:AS103)</f>
        <v>48</v>
      </c>
      <c r="BF103" s="36" t="n">
        <f aca="false">W103+AI103</f>
        <v>17</v>
      </c>
      <c r="BG103" s="36" t="n">
        <f aca="false">SUM(AT103:AU103)</f>
        <v>94</v>
      </c>
      <c r="BH103" s="36" t="n">
        <f aca="false">Y103+AK103</f>
        <v>12</v>
      </c>
      <c r="BI103" s="36" t="n">
        <f aca="false">SUM(AV103:AW103)</f>
        <v>46</v>
      </c>
      <c r="BJ103" s="36" t="n">
        <f aca="false">AA103+AM103</f>
        <v>12</v>
      </c>
      <c r="BK103" s="36" t="n">
        <f aca="false">SUM(AX103:AY103)</f>
        <v>58</v>
      </c>
      <c r="BL103" s="37" t="n">
        <f aca="false">BE103+BI103</f>
        <v>94</v>
      </c>
      <c r="BM103" s="37" t="n">
        <f aca="false">BG103+BK103</f>
        <v>152</v>
      </c>
      <c r="BN103" s="38" t="n">
        <f aca="false">BL103+BM103</f>
        <v>246</v>
      </c>
      <c r="BO103" s="39" t="n">
        <f aca="false">BN103/N103*100</f>
        <v>71.7201166180758</v>
      </c>
      <c r="BP103" s="10" t="n">
        <v>28</v>
      </c>
      <c r="BQ103" s="10" t="n">
        <v>0</v>
      </c>
      <c r="BR103" s="10" t="n">
        <v>0</v>
      </c>
      <c r="BS103" s="10" t="n">
        <v>17</v>
      </c>
      <c r="BT103" s="10" t="n">
        <v>0</v>
      </c>
      <c r="BU103" s="10" t="n">
        <v>0</v>
      </c>
    </row>
    <row r="104" customFormat="false" ht="32.25" hidden="false" customHeight="true" outlineLevel="0" collapsed="false">
      <c r="A104" s="27" t="n">
        <v>5</v>
      </c>
      <c r="B104" s="28" t="s">
        <v>46</v>
      </c>
      <c r="C104" s="10" t="n">
        <v>2</v>
      </c>
      <c r="D104" s="10" t="n">
        <v>0</v>
      </c>
      <c r="E104" s="10" t="n">
        <v>2</v>
      </c>
      <c r="F104" s="10" t="n">
        <v>0</v>
      </c>
      <c r="G104" s="10" t="n">
        <v>0</v>
      </c>
      <c r="H104" s="29" t="n">
        <v>238</v>
      </c>
      <c r="I104" s="29" t="n">
        <v>239</v>
      </c>
      <c r="J104" s="30" t="n">
        <v>95</v>
      </c>
      <c r="K104" s="30" t="n">
        <v>114</v>
      </c>
      <c r="L104" s="30" t="n">
        <v>55</v>
      </c>
      <c r="M104" s="30" t="n">
        <v>67</v>
      </c>
      <c r="N104" s="31" t="n">
        <f aca="false">SUM(J104:M104)</f>
        <v>331</v>
      </c>
      <c r="O104" s="32" t="n">
        <v>0</v>
      </c>
      <c r="P104" s="33" t="n">
        <f aca="false">P82+Q82</f>
        <v>29</v>
      </c>
      <c r="Q104" s="43" t="n">
        <v>5</v>
      </c>
      <c r="R104" s="33" t="n">
        <f aca="false">R82+S82</f>
        <v>64</v>
      </c>
      <c r="S104" s="33" t="n">
        <v>8</v>
      </c>
      <c r="T104" s="33" t="n">
        <f aca="false">T82+U82</f>
        <v>47</v>
      </c>
      <c r="U104" s="34" t="n">
        <v>7</v>
      </c>
      <c r="V104" s="33" t="n">
        <f aca="false">V82+W82</f>
        <v>49</v>
      </c>
      <c r="W104" s="34" t="n">
        <v>6</v>
      </c>
      <c r="X104" s="33" t="n">
        <f aca="false">X82+Y82</f>
        <v>5</v>
      </c>
      <c r="Y104" s="34" t="n">
        <v>2</v>
      </c>
      <c r="Z104" s="33" t="n">
        <f aca="false">Z82+AA82</f>
        <v>13</v>
      </c>
      <c r="AA104" s="34" t="n">
        <v>6</v>
      </c>
      <c r="AB104" s="33" t="n">
        <f aca="false">AB82+AC82</f>
        <v>5</v>
      </c>
      <c r="AC104" s="43" t="n">
        <v>1</v>
      </c>
      <c r="AD104" s="33" t="n">
        <f aca="false">AD82+AE82</f>
        <v>30</v>
      </c>
      <c r="AE104" s="33" t="n">
        <v>2</v>
      </c>
      <c r="AF104" s="33" t="n">
        <f aca="false">AF82+AG82</f>
        <v>4</v>
      </c>
      <c r="AG104" s="34" t="n">
        <v>1</v>
      </c>
      <c r="AH104" s="33" t="n">
        <f aca="false">AH82+AI82</f>
        <v>24</v>
      </c>
      <c r="AI104" s="34" t="n">
        <v>1</v>
      </c>
      <c r="AJ104" s="33" t="n">
        <f aca="false">AJ82+AK82</f>
        <v>2</v>
      </c>
      <c r="AK104" s="34" t="n">
        <v>1</v>
      </c>
      <c r="AL104" s="33" t="n">
        <f aca="false">AL82+AM82</f>
        <v>5</v>
      </c>
      <c r="AM104" s="34" t="n">
        <v>1</v>
      </c>
      <c r="AN104" s="35" t="n">
        <f aca="false">P104+AB104</f>
        <v>34</v>
      </c>
      <c r="AO104" s="35" t="n">
        <f aca="false">Q104+AC104</f>
        <v>6</v>
      </c>
      <c r="AP104" s="35" t="n">
        <f aca="false">R104+AD104</f>
        <v>94</v>
      </c>
      <c r="AQ104" s="35" t="n">
        <f aca="false">S104+AE104</f>
        <v>10</v>
      </c>
      <c r="AR104" s="35" t="n">
        <f aca="false">T104+AF104</f>
        <v>51</v>
      </c>
      <c r="AS104" s="35" t="n">
        <f aca="false">U104+AG104</f>
        <v>8</v>
      </c>
      <c r="AT104" s="35" t="n">
        <f aca="false">V104+AH104</f>
        <v>73</v>
      </c>
      <c r="AU104" s="35" t="n">
        <f aca="false">W104+AI104</f>
        <v>7</v>
      </c>
      <c r="AV104" s="35" t="n">
        <f aca="false">X104+AJ104</f>
        <v>7</v>
      </c>
      <c r="AW104" s="35" t="n">
        <f aca="false">Y104+AK104</f>
        <v>3</v>
      </c>
      <c r="AX104" s="35" t="n">
        <f aca="false">Z104+AL104</f>
        <v>18</v>
      </c>
      <c r="AY104" s="35" t="n">
        <f aca="false">AA104+AM104</f>
        <v>7</v>
      </c>
      <c r="AZ104" s="36" t="n">
        <f aca="false">AO104</f>
        <v>6</v>
      </c>
      <c r="BA104" s="36" t="n">
        <f aca="false">SUM(AN104:AO104)</f>
        <v>40</v>
      </c>
      <c r="BB104" s="36" t="n">
        <f aca="false">S104+AE104</f>
        <v>10</v>
      </c>
      <c r="BC104" s="36" t="n">
        <f aca="false">SUM(AP104:AQ104)</f>
        <v>104</v>
      </c>
      <c r="BD104" s="36" t="n">
        <f aca="false">U104+AG104</f>
        <v>8</v>
      </c>
      <c r="BE104" s="36" t="n">
        <f aca="false">SUM(AR104:AS104)</f>
        <v>59</v>
      </c>
      <c r="BF104" s="36" t="n">
        <f aca="false">W104+AI104</f>
        <v>7</v>
      </c>
      <c r="BG104" s="36" t="n">
        <f aca="false">SUM(AT104:AU104)</f>
        <v>80</v>
      </c>
      <c r="BH104" s="36" t="n">
        <f aca="false">Y104+AK104</f>
        <v>3</v>
      </c>
      <c r="BI104" s="36" t="n">
        <f aca="false">SUM(AV104:AW104)</f>
        <v>10</v>
      </c>
      <c r="BJ104" s="36" t="n">
        <f aca="false">AA104+AM104</f>
        <v>7</v>
      </c>
      <c r="BK104" s="36" t="n">
        <f aca="false">SUM(AX104:AY104)</f>
        <v>25</v>
      </c>
      <c r="BL104" s="37" t="n">
        <f aca="false">BE104+BI104</f>
        <v>69</v>
      </c>
      <c r="BM104" s="37" t="n">
        <f aca="false">BG104+BK104</f>
        <v>105</v>
      </c>
      <c r="BN104" s="38" t="n">
        <f aca="false">BL104+BM104</f>
        <v>174</v>
      </c>
      <c r="BO104" s="39" t="n">
        <f aca="false">BN104/N104*100</f>
        <v>52.5679758308157</v>
      </c>
      <c r="BP104" s="10" t="n">
        <v>27</v>
      </c>
      <c r="BQ104" s="10" t="n">
        <v>0</v>
      </c>
      <c r="BR104" s="10" t="n">
        <v>0</v>
      </c>
      <c r="BS104" s="10" t="n">
        <v>5</v>
      </c>
      <c r="BT104" s="10" t="n">
        <v>0</v>
      </c>
      <c r="BU104" s="10" t="n">
        <v>0</v>
      </c>
    </row>
    <row r="105" customFormat="false" ht="32.25" hidden="false" customHeight="true" outlineLevel="0" collapsed="false">
      <c r="A105" s="27" t="n">
        <v>5</v>
      </c>
      <c r="B105" s="28" t="s">
        <v>47</v>
      </c>
      <c r="C105" s="10" t="n">
        <v>3</v>
      </c>
      <c r="D105" s="10" t="n">
        <v>0</v>
      </c>
      <c r="E105" s="10" t="n">
        <v>3</v>
      </c>
      <c r="F105" s="10" t="n">
        <v>0</v>
      </c>
      <c r="G105" s="10" t="n">
        <v>0</v>
      </c>
      <c r="H105" s="29" t="n">
        <v>302</v>
      </c>
      <c r="I105" s="29" t="n">
        <v>303</v>
      </c>
      <c r="J105" s="30" t="n">
        <v>155</v>
      </c>
      <c r="K105" s="30" t="n">
        <v>110</v>
      </c>
      <c r="L105" s="30" t="n">
        <v>75</v>
      </c>
      <c r="M105" s="30" t="n">
        <v>80</v>
      </c>
      <c r="N105" s="31" t="n">
        <f aca="false">SUM(J105:M105)</f>
        <v>420</v>
      </c>
      <c r="O105" s="32" t="n">
        <v>0</v>
      </c>
      <c r="P105" s="33" t="n">
        <f aca="false">P83+Q83</f>
        <v>35</v>
      </c>
      <c r="Q105" s="33" t="n">
        <v>15</v>
      </c>
      <c r="R105" s="33" t="n">
        <f aca="false">R83+S83</f>
        <v>66</v>
      </c>
      <c r="S105" s="33"/>
      <c r="T105" s="33" t="n">
        <f aca="false">T83+U83</f>
        <v>22</v>
      </c>
      <c r="U105" s="34" t="n">
        <v>2</v>
      </c>
      <c r="V105" s="33" t="n">
        <f aca="false">V83+W83</f>
        <v>20</v>
      </c>
      <c r="W105" s="34" t="n">
        <v>2</v>
      </c>
      <c r="X105" s="33" t="n">
        <f aca="false">X83+Y83</f>
        <v>10</v>
      </c>
      <c r="Y105" s="34" t="n">
        <v>1</v>
      </c>
      <c r="Z105" s="33" t="n">
        <f aca="false">Z83+AA83</f>
        <v>18</v>
      </c>
      <c r="AA105" s="34" t="n">
        <v>1</v>
      </c>
      <c r="AB105" s="33" t="n">
        <f aca="false">AB83+AC83</f>
        <v>19</v>
      </c>
      <c r="AC105" s="33" t="n">
        <v>2</v>
      </c>
      <c r="AD105" s="33" t="n">
        <f aca="false">AD83+AE83</f>
        <v>24</v>
      </c>
      <c r="AE105" s="33" t="n">
        <v>1</v>
      </c>
      <c r="AF105" s="33" t="n">
        <f aca="false">AF83+AG83</f>
        <v>9</v>
      </c>
      <c r="AG105" s="34" t="n">
        <v>1</v>
      </c>
      <c r="AH105" s="33" t="n">
        <f aca="false">AH83+AI83</f>
        <v>13</v>
      </c>
      <c r="AI105" s="34" t="n">
        <v>2</v>
      </c>
      <c r="AJ105" s="33" t="n">
        <f aca="false">AJ83+AK83</f>
        <v>6</v>
      </c>
      <c r="AK105" s="34" t="n">
        <v>1</v>
      </c>
      <c r="AL105" s="33" t="n">
        <f aca="false">AL83+AM83</f>
        <v>6</v>
      </c>
      <c r="AM105" s="34"/>
      <c r="AN105" s="35" t="n">
        <f aca="false">P105+AB105</f>
        <v>54</v>
      </c>
      <c r="AO105" s="35" t="n">
        <f aca="false">Q105+AC105</f>
        <v>17</v>
      </c>
      <c r="AP105" s="35" t="n">
        <f aca="false">R105+AD105</f>
        <v>90</v>
      </c>
      <c r="AQ105" s="35" t="n">
        <f aca="false">S105+AE105</f>
        <v>1</v>
      </c>
      <c r="AR105" s="35" t="n">
        <f aca="false">T105+AF105</f>
        <v>31</v>
      </c>
      <c r="AS105" s="35" t="n">
        <f aca="false">U105+AG105</f>
        <v>3</v>
      </c>
      <c r="AT105" s="35" t="n">
        <f aca="false">V105+AH105</f>
        <v>33</v>
      </c>
      <c r="AU105" s="35" t="n">
        <f aca="false">W105+AI105</f>
        <v>4</v>
      </c>
      <c r="AV105" s="35" t="n">
        <f aca="false">X105+AJ105</f>
        <v>16</v>
      </c>
      <c r="AW105" s="35" t="n">
        <f aca="false">Y105+AK105</f>
        <v>2</v>
      </c>
      <c r="AX105" s="35" t="n">
        <f aca="false">Z105+AL105</f>
        <v>24</v>
      </c>
      <c r="AY105" s="35" t="n">
        <f aca="false">AA105+AM105</f>
        <v>1</v>
      </c>
      <c r="AZ105" s="36" t="n">
        <f aca="false">AO105</f>
        <v>17</v>
      </c>
      <c r="BA105" s="36" t="n">
        <f aca="false">SUM(AN105:AO105)</f>
        <v>71</v>
      </c>
      <c r="BB105" s="36" t="n">
        <f aca="false">S105+AE105</f>
        <v>1</v>
      </c>
      <c r="BC105" s="36" t="n">
        <f aca="false">SUM(AP105:AQ105)</f>
        <v>91</v>
      </c>
      <c r="BD105" s="36" t="n">
        <f aca="false">U105+AG105</f>
        <v>3</v>
      </c>
      <c r="BE105" s="36" t="n">
        <f aca="false">SUM(AR105:AS105)</f>
        <v>34</v>
      </c>
      <c r="BF105" s="36" t="n">
        <f aca="false">W105+AI105</f>
        <v>4</v>
      </c>
      <c r="BG105" s="36" t="n">
        <f aca="false">SUM(AT105:AU105)</f>
        <v>37</v>
      </c>
      <c r="BH105" s="36" t="n">
        <f aca="false">Y105+AK105</f>
        <v>2</v>
      </c>
      <c r="BI105" s="36" t="n">
        <f aca="false">SUM(AV105:AW105)</f>
        <v>18</v>
      </c>
      <c r="BJ105" s="36" t="n">
        <f aca="false">AA105+AM105</f>
        <v>1</v>
      </c>
      <c r="BK105" s="36" t="n">
        <f aca="false">SUM(AX105:AY105)</f>
        <v>25</v>
      </c>
      <c r="BL105" s="37" t="n">
        <f aca="false">BE105+BI105</f>
        <v>52</v>
      </c>
      <c r="BM105" s="37" t="n">
        <f aca="false">BG105+BK105</f>
        <v>62</v>
      </c>
      <c r="BN105" s="38" t="n">
        <f aca="false">BL105+BM105</f>
        <v>114</v>
      </c>
      <c r="BO105" s="39" t="n">
        <f aca="false">BN105/N105*100</f>
        <v>27.1428571428571</v>
      </c>
      <c r="BP105" s="10" t="n">
        <v>10</v>
      </c>
      <c r="BQ105" s="10" t="n">
        <v>1</v>
      </c>
      <c r="BR105" s="10" t="n">
        <v>0</v>
      </c>
      <c r="BS105" s="10" t="n">
        <v>6</v>
      </c>
      <c r="BT105" s="10" t="n">
        <v>0</v>
      </c>
      <c r="BU105" s="10" t="n">
        <v>0</v>
      </c>
    </row>
    <row r="106" customFormat="false" ht="36.75" hidden="false" customHeight="true" outlineLevel="0" collapsed="false">
      <c r="A106" s="15" t="s">
        <v>48</v>
      </c>
      <c r="B106" s="15"/>
      <c r="C106" s="21" t="n">
        <f aca="false">SUM(C100:C105)</f>
        <v>15</v>
      </c>
      <c r="D106" s="21" t="n">
        <f aca="false">SUM(D100:D105)</f>
        <v>0</v>
      </c>
      <c r="E106" s="21" t="n">
        <f aca="false">SUM(E100:E105)</f>
        <v>15</v>
      </c>
      <c r="F106" s="21" t="n">
        <f aca="false">SUM(F100:F105)</f>
        <v>0</v>
      </c>
      <c r="G106" s="21" t="n">
        <f aca="false">SUM(G100:G105)</f>
        <v>0</v>
      </c>
      <c r="H106" s="31" t="n">
        <f aca="false">SUM(H100:H105)</f>
        <v>1548</v>
      </c>
      <c r="I106" s="31" t="n">
        <f aca="false">SUM(I100:I105)</f>
        <v>1604</v>
      </c>
      <c r="J106" s="31" t="n">
        <f aca="false">SUM(J100:J105)</f>
        <v>765</v>
      </c>
      <c r="K106" s="31" t="n">
        <f aca="false">SUM(K100:K105)</f>
        <v>814</v>
      </c>
      <c r="L106" s="31" t="n">
        <f aca="false">SUM(L100:L105)</f>
        <v>440</v>
      </c>
      <c r="M106" s="31" t="n">
        <f aca="false">SUM(M100:M105)</f>
        <v>480</v>
      </c>
      <c r="N106" s="31" t="n">
        <f aca="false">SUM(J106:M106)</f>
        <v>2499</v>
      </c>
      <c r="O106" s="31" t="n">
        <v>1506</v>
      </c>
      <c r="P106" s="21" t="n">
        <f aca="false">SUM(P100:P105)</f>
        <v>191</v>
      </c>
      <c r="Q106" s="21" t="n">
        <f aca="false">SUM(Q100:Q105)</f>
        <v>50</v>
      </c>
      <c r="R106" s="21" t="n">
        <f aca="false">SUM(R100:R105)</f>
        <v>511</v>
      </c>
      <c r="S106" s="21" t="n">
        <f aca="false">SUM(S100:S105)</f>
        <v>12</v>
      </c>
      <c r="T106" s="21" t="n">
        <f aca="false">SUM(T100:T105)</f>
        <v>199</v>
      </c>
      <c r="U106" s="44" t="n">
        <f aca="false">SUM(U100:U105)</f>
        <v>26</v>
      </c>
      <c r="V106" s="44" t="n">
        <f aca="false">SUM(V100:V105)</f>
        <v>266</v>
      </c>
      <c r="W106" s="44" t="n">
        <f aca="false">SUM(W100:W105)</f>
        <v>28</v>
      </c>
      <c r="X106" s="44" t="n">
        <f aca="false">SUM(X100:X105)</f>
        <v>124</v>
      </c>
      <c r="Y106" s="44" t="n">
        <f aca="false">SUM(Y100:Y105)</f>
        <v>22</v>
      </c>
      <c r="Z106" s="44" t="n">
        <f aca="false">SUM(Z100:Z105)</f>
        <v>143</v>
      </c>
      <c r="AA106" s="44" t="n">
        <f aca="false">SUM(AA100:AA105)</f>
        <v>24</v>
      </c>
      <c r="AB106" s="21" t="n">
        <f aca="false">SUM(AB100:AB105)</f>
        <v>88</v>
      </c>
      <c r="AC106" s="21" t="n">
        <f aca="false">SUM(AC100:AC105)</f>
        <v>19</v>
      </c>
      <c r="AD106" s="21" t="n">
        <f aca="false">SUM(AD100:AD105)</f>
        <v>148</v>
      </c>
      <c r="AE106" s="21" t="n">
        <f aca="false">SUM(AE100:AE105)</f>
        <v>24</v>
      </c>
      <c r="AF106" s="44" t="n">
        <f aca="false">SUM(AF100:AF105)</f>
        <v>85</v>
      </c>
      <c r="AG106" s="44" t="n">
        <f aca="false">SUM(AG100:AG105)</f>
        <v>19</v>
      </c>
      <c r="AH106" s="44" t="n">
        <f aca="false">SUM(AH100:AH105)</f>
        <v>137</v>
      </c>
      <c r="AI106" s="44" t="n">
        <f aca="false">SUM(AI100:AI105)</f>
        <v>25</v>
      </c>
      <c r="AJ106" s="44" t="n">
        <f aca="false">SUM(AJ100:AJ105)</f>
        <v>46</v>
      </c>
      <c r="AK106" s="44" t="n">
        <f aca="false">SUM(AK100:AK105)</f>
        <v>16</v>
      </c>
      <c r="AL106" s="44" t="n">
        <f aca="false">SUM(AL100:AL105)</f>
        <v>68</v>
      </c>
      <c r="AM106" s="44" t="n">
        <f aca="false">SUM(AM100:AM105)</f>
        <v>17</v>
      </c>
      <c r="AN106" s="21" t="n">
        <f aca="false">SUM(AN100:AN105)</f>
        <v>279</v>
      </c>
      <c r="AO106" s="21" t="n">
        <f aca="false">SUM(AO100:AO105)</f>
        <v>69</v>
      </c>
      <c r="AP106" s="21" t="n">
        <f aca="false">SUM(AP100:AP105)</f>
        <v>659</v>
      </c>
      <c r="AQ106" s="21" t="n">
        <f aca="false">SUM(AQ100:AQ105)</f>
        <v>36</v>
      </c>
      <c r="AR106" s="44" t="n">
        <f aca="false">SUM(AR100:AR105)</f>
        <v>284</v>
      </c>
      <c r="AS106" s="44" t="n">
        <f aca="false">SUM(AS100:AS105)</f>
        <v>45</v>
      </c>
      <c r="AT106" s="44" t="n">
        <f aca="false">SUM(AT100:AT105)</f>
        <v>403</v>
      </c>
      <c r="AU106" s="44" t="n">
        <f aca="false">SUM(AU100:AU105)</f>
        <v>53</v>
      </c>
      <c r="AV106" s="44" t="n">
        <f aca="false">SUM(AV100:AV105)</f>
        <v>170</v>
      </c>
      <c r="AW106" s="44" t="n">
        <f aca="false">SUM(AW100:AW105)</f>
        <v>38</v>
      </c>
      <c r="AX106" s="44" t="n">
        <f aca="false">SUM(AX100:AX105)</f>
        <v>211</v>
      </c>
      <c r="AY106" s="44" t="n">
        <f aca="false">SUM(AY100:AY105)</f>
        <v>41</v>
      </c>
      <c r="AZ106" s="21" t="n">
        <f aca="false">SUM(AZ100:AZ105)</f>
        <v>69</v>
      </c>
      <c r="BA106" s="21" t="n">
        <f aca="false">SUM(BA100:BA105)</f>
        <v>348</v>
      </c>
      <c r="BB106" s="21" t="n">
        <f aca="false">SUM(BB100:BB105)</f>
        <v>36</v>
      </c>
      <c r="BC106" s="21" t="n">
        <f aca="false">SUM(BC100:BC105)</f>
        <v>695</v>
      </c>
      <c r="BD106" s="21" t="n">
        <f aca="false">SUM(BD100:BD105)</f>
        <v>45</v>
      </c>
      <c r="BE106" s="21" t="n">
        <f aca="false">SUM(BE100:BE105)</f>
        <v>329</v>
      </c>
      <c r="BF106" s="21" t="n">
        <f aca="false">SUM(BF100:BF105)</f>
        <v>53</v>
      </c>
      <c r="BG106" s="21" t="n">
        <f aca="false">SUM(BG100:BG105)</f>
        <v>456</v>
      </c>
      <c r="BH106" s="21" t="n">
        <f aca="false">SUM(BH100:BH105)</f>
        <v>38</v>
      </c>
      <c r="BI106" s="21" t="n">
        <f aca="false">SUM(BI100:BI105)</f>
        <v>208</v>
      </c>
      <c r="BJ106" s="21" t="n">
        <f aca="false">SUM(BJ100:BJ105)</f>
        <v>41</v>
      </c>
      <c r="BK106" s="21" t="n">
        <f aca="false">SUM(BK100:BK105)</f>
        <v>252</v>
      </c>
      <c r="BL106" s="21" t="n">
        <f aca="false">SUM(BL100:BL105)</f>
        <v>537</v>
      </c>
      <c r="BM106" s="21" t="n">
        <f aca="false">SUM(BM100:BM105)</f>
        <v>708</v>
      </c>
      <c r="BN106" s="45" t="n">
        <f aca="false">SUM(BN100:BN105)</f>
        <v>1245</v>
      </c>
      <c r="BO106" s="45" t="n">
        <f aca="false">BN106/N106*100</f>
        <v>49.8199279711885</v>
      </c>
      <c r="BP106" s="21" t="n">
        <f aca="false">SUM(BP100:BP105)</f>
        <v>128</v>
      </c>
      <c r="BQ106" s="21" t="n">
        <f aca="false">SUM(BQ100:BQ105)</f>
        <v>1</v>
      </c>
      <c r="BR106" s="21" t="n">
        <f aca="false">SUM(BR100:BR105)</f>
        <v>0</v>
      </c>
      <c r="BS106" s="21" t="n">
        <f aca="false">SUM(BS100:BS105)</f>
        <v>70</v>
      </c>
      <c r="BT106" s="21" t="n">
        <f aca="false">SUM(BT100:BT105)</f>
        <v>0</v>
      </c>
      <c r="BU106" s="21" t="n">
        <f aca="false">SUM(BU100:BU105)</f>
        <v>0</v>
      </c>
    </row>
    <row r="107" customFormat="false" ht="15.75" hidden="false" customHeight="false" outlineLevel="0" collapsed="false"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</row>
    <row r="108" customFormat="false" ht="15.75" hidden="false" customHeight="false" outlineLevel="0" collapsed="false"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</row>
    <row r="109" customFormat="false" ht="15.75" hidden="false" customHeight="false" outlineLevel="0" collapsed="false"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</row>
    <row r="110" customFormat="false" ht="15.75" hidden="false" customHeight="false" outlineLevel="0" collapsed="false"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</row>
    <row r="111" customFormat="false" ht="15.75" hidden="false" customHeight="false" outlineLevel="0" collapsed="false">
      <c r="A111" s="2" t="s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</row>
    <row r="113" customFormat="false" ht="15.75" hidden="false" customHeight="false" outlineLevel="0" collapsed="false">
      <c r="A113" s="3" t="s">
        <v>1</v>
      </c>
      <c r="B113" s="4"/>
      <c r="C113" s="4" t="s">
        <v>2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</row>
    <row r="114" customFormat="false" ht="15.75" hidden="false" customHeight="false" outlineLevel="0" collapsed="false">
      <c r="A114" s="3" t="s">
        <v>3</v>
      </c>
      <c r="B114" s="4"/>
      <c r="C114" s="4" t="s">
        <v>4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</row>
    <row r="115" customFormat="false" ht="15.75" hidden="false" customHeight="false" outlineLevel="0" collapsed="false">
      <c r="A115" s="3" t="s">
        <v>5</v>
      </c>
      <c r="B115" s="4"/>
      <c r="C115" s="4" t="s">
        <v>56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</row>
    <row r="116" customFormat="false" ht="15.75" hidden="false" customHeight="false" outlineLevel="0" collapsed="false">
      <c r="A116" s="4"/>
      <c r="B116" s="4"/>
      <c r="C116" s="4"/>
      <c r="D116" s="4"/>
      <c r="E116" s="4"/>
      <c r="F116" s="4"/>
      <c r="G116" s="4"/>
      <c r="H116" s="5"/>
      <c r="I116" s="5"/>
      <c r="J116" s="5"/>
      <c r="K116" s="5"/>
      <c r="L116" s="5"/>
      <c r="M116" s="5"/>
      <c r="N116" s="5"/>
      <c r="O116" s="5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</row>
    <row r="117" customFormat="false" ht="33.75" hidden="false" customHeight="true" outlineLevel="0" collapsed="false">
      <c r="A117" s="7" t="s">
        <v>7</v>
      </c>
      <c r="B117" s="8" t="s">
        <v>8</v>
      </c>
      <c r="C117" s="8" t="s">
        <v>9</v>
      </c>
      <c r="D117" s="9" t="s">
        <v>10</v>
      </c>
      <c r="E117" s="9" t="s">
        <v>11</v>
      </c>
      <c r="F117" s="9" t="s">
        <v>12</v>
      </c>
      <c r="G117" s="9" t="s">
        <v>13</v>
      </c>
      <c r="H117" s="10" t="s">
        <v>14</v>
      </c>
      <c r="I117" s="10"/>
      <c r="J117" s="10"/>
      <c r="K117" s="10"/>
      <c r="L117" s="10"/>
      <c r="M117" s="11"/>
      <c r="N117" s="11"/>
      <c r="O117" s="8" t="s">
        <v>15</v>
      </c>
      <c r="P117" s="11" t="s">
        <v>16</v>
      </c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0" t="s">
        <v>17</v>
      </c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7" t="s">
        <v>18</v>
      </c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 t="s">
        <v>19</v>
      </c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8" t="s">
        <v>20</v>
      </c>
      <c r="BM117" s="8"/>
      <c r="BN117" s="8"/>
      <c r="BO117" s="8"/>
      <c r="BP117" s="7" t="s">
        <v>21</v>
      </c>
      <c r="BQ117" s="7"/>
      <c r="BR117" s="7"/>
      <c r="BS117" s="7" t="s">
        <v>21</v>
      </c>
      <c r="BT117" s="7"/>
      <c r="BU117" s="7"/>
    </row>
    <row r="118" customFormat="false" ht="44.25" hidden="false" customHeight="true" outlineLevel="0" collapsed="false">
      <c r="A118" s="7"/>
      <c r="B118" s="8"/>
      <c r="C118" s="8"/>
      <c r="D118" s="9"/>
      <c r="E118" s="9"/>
      <c r="F118" s="9"/>
      <c r="G118" s="9"/>
      <c r="H118" s="7" t="s">
        <v>22</v>
      </c>
      <c r="I118" s="7"/>
      <c r="J118" s="7" t="s">
        <v>23</v>
      </c>
      <c r="K118" s="7"/>
      <c r="L118" s="7" t="s">
        <v>24</v>
      </c>
      <c r="M118" s="7"/>
      <c r="N118" s="12" t="s">
        <v>25</v>
      </c>
      <c r="O118" s="8"/>
      <c r="P118" s="11" t="s">
        <v>22</v>
      </c>
      <c r="Q118" s="11"/>
      <c r="R118" s="11"/>
      <c r="S118" s="11"/>
      <c r="T118" s="10" t="s">
        <v>23</v>
      </c>
      <c r="U118" s="10"/>
      <c r="V118" s="10"/>
      <c r="W118" s="10"/>
      <c r="X118" s="10" t="s">
        <v>24</v>
      </c>
      <c r="Y118" s="10"/>
      <c r="Z118" s="10"/>
      <c r="AA118" s="10"/>
      <c r="AB118" s="10" t="s">
        <v>22</v>
      </c>
      <c r="AC118" s="10"/>
      <c r="AD118" s="10"/>
      <c r="AE118" s="10"/>
      <c r="AF118" s="10" t="s">
        <v>23</v>
      </c>
      <c r="AG118" s="10"/>
      <c r="AH118" s="10"/>
      <c r="AI118" s="10"/>
      <c r="AJ118" s="10" t="s">
        <v>24</v>
      </c>
      <c r="AK118" s="10"/>
      <c r="AL118" s="10"/>
      <c r="AM118" s="10"/>
      <c r="AN118" s="7" t="s">
        <v>22</v>
      </c>
      <c r="AO118" s="7"/>
      <c r="AP118" s="7"/>
      <c r="AQ118" s="7"/>
      <c r="AR118" s="7" t="s">
        <v>23</v>
      </c>
      <c r="AS118" s="7"/>
      <c r="AT118" s="7"/>
      <c r="AU118" s="7"/>
      <c r="AV118" s="7" t="s">
        <v>24</v>
      </c>
      <c r="AW118" s="7"/>
      <c r="AX118" s="7"/>
      <c r="AY118" s="7"/>
      <c r="AZ118" s="7" t="s">
        <v>22</v>
      </c>
      <c r="BA118" s="7"/>
      <c r="BB118" s="7"/>
      <c r="BC118" s="7"/>
      <c r="BD118" s="7" t="s">
        <v>23</v>
      </c>
      <c r="BE118" s="7"/>
      <c r="BF118" s="7"/>
      <c r="BG118" s="7"/>
      <c r="BH118" s="7" t="s">
        <v>24</v>
      </c>
      <c r="BI118" s="7"/>
      <c r="BJ118" s="7"/>
      <c r="BK118" s="7"/>
      <c r="BL118" s="7" t="s">
        <v>26</v>
      </c>
      <c r="BM118" s="7"/>
      <c r="BN118" s="7"/>
      <c r="BO118" s="7"/>
      <c r="BP118" s="7" t="s">
        <v>27</v>
      </c>
      <c r="BQ118" s="7"/>
      <c r="BR118" s="7"/>
      <c r="BS118" s="7" t="s">
        <v>28</v>
      </c>
      <c r="BT118" s="7"/>
      <c r="BU118" s="7"/>
    </row>
    <row r="119" customFormat="false" ht="27" hidden="false" customHeight="true" outlineLevel="0" collapsed="false">
      <c r="A119" s="7"/>
      <c r="B119" s="8"/>
      <c r="C119" s="8"/>
      <c r="D119" s="9"/>
      <c r="E119" s="9"/>
      <c r="F119" s="9"/>
      <c r="G119" s="9"/>
      <c r="H119" s="7" t="s">
        <v>29</v>
      </c>
      <c r="I119" s="7" t="s">
        <v>30</v>
      </c>
      <c r="J119" s="7" t="s">
        <v>29</v>
      </c>
      <c r="K119" s="7" t="s">
        <v>30</v>
      </c>
      <c r="L119" s="7" t="s">
        <v>29</v>
      </c>
      <c r="M119" s="7" t="s">
        <v>30</v>
      </c>
      <c r="N119" s="12"/>
      <c r="O119" s="8"/>
      <c r="P119" s="11" t="s">
        <v>29</v>
      </c>
      <c r="Q119" s="11"/>
      <c r="R119" s="10" t="s">
        <v>30</v>
      </c>
      <c r="S119" s="10"/>
      <c r="T119" s="10" t="s">
        <v>29</v>
      </c>
      <c r="U119" s="10"/>
      <c r="V119" s="10" t="s">
        <v>30</v>
      </c>
      <c r="W119" s="10"/>
      <c r="X119" s="10" t="s">
        <v>29</v>
      </c>
      <c r="Y119" s="10"/>
      <c r="Z119" s="10" t="s">
        <v>30</v>
      </c>
      <c r="AA119" s="10"/>
      <c r="AB119" s="10" t="s">
        <v>29</v>
      </c>
      <c r="AC119" s="10"/>
      <c r="AD119" s="10" t="s">
        <v>30</v>
      </c>
      <c r="AE119" s="10"/>
      <c r="AF119" s="10" t="s">
        <v>29</v>
      </c>
      <c r="AG119" s="10"/>
      <c r="AH119" s="10" t="s">
        <v>30</v>
      </c>
      <c r="AI119" s="10"/>
      <c r="AJ119" s="10" t="s">
        <v>29</v>
      </c>
      <c r="AK119" s="10"/>
      <c r="AL119" s="10" t="s">
        <v>30</v>
      </c>
      <c r="AM119" s="10"/>
      <c r="AN119" s="13" t="s">
        <v>29</v>
      </c>
      <c r="AO119" s="13"/>
      <c r="AP119" s="13" t="s">
        <v>30</v>
      </c>
      <c r="AQ119" s="13"/>
      <c r="AR119" s="13" t="s">
        <v>29</v>
      </c>
      <c r="AS119" s="13"/>
      <c r="AT119" s="13" t="s">
        <v>30</v>
      </c>
      <c r="AU119" s="13"/>
      <c r="AV119" s="13" t="s">
        <v>29</v>
      </c>
      <c r="AW119" s="13"/>
      <c r="AX119" s="13" t="s">
        <v>30</v>
      </c>
      <c r="AY119" s="13"/>
      <c r="AZ119" s="14" t="s">
        <v>29</v>
      </c>
      <c r="BA119" s="14"/>
      <c r="BB119" s="14" t="s">
        <v>30</v>
      </c>
      <c r="BC119" s="14"/>
      <c r="BD119" s="14" t="s">
        <v>29</v>
      </c>
      <c r="BE119" s="14"/>
      <c r="BF119" s="14" t="s">
        <v>30</v>
      </c>
      <c r="BG119" s="14"/>
      <c r="BH119" s="14" t="s">
        <v>29</v>
      </c>
      <c r="BI119" s="14"/>
      <c r="BJ119" s="14" t="s">
        <v>30</v>
      </c>
      <c r="BK119" s="14"/>
      <c r="BL119" s="15" t="s">
        <v>29</v>
      </c>
      <c r="BM119" s="15" t="s">
        <v>30</v>
      </c>
      <c r="BN119" s="15" t="s">
        <v>31</v>
      </c>
      <c r="BO119" s="15" t="s">
        <v>32</v>
      </c>
      <c r="BP119" s="7" t="s">
        <v>33</v>
      </c>
      <c r="BQ119" s="7" t="s">
        <v>34</v>
      </c>
      <c r="BR119" s="7" t="s">
        <v>35</v>
      </c>
      <c r="BS119" s="7" t="s">
        <v>33</v>
      </c>
      <c r="BT119" s="7" t="s">
        <v>34</v>
      </c>
      <c r="BU119" s="7" t="s">
        <v>35</v>
      </c>
    </row>
    <row r="120" customFormat="false" ht="85.5" hidden="false" customHeight="true" outlineLevel="0" collapsed="false">
      <c r="A120" s="7"/>
      <c r="B120" s="8"/>
      <c r="C120" s="8"/>
      <c r="D120" s="9"/>
      <c r="E120" s="9"/>
      <c r="F120" s="9"/>
      <c r="G120" s="9"/>
      <c r="H120" s="7"/>
      <c r="I120" s="7"/>
      <c r="J120" s="7"/>
      <c r="K120" s="7"/>
      <c r="L120" s="7"/>
      <c r="M120" s="7"/>
      <c r="N120" s="12"/>
      <c r="O120" s="8"/>
      <c r="P120" s="16" t="s">
        <v>36</v>
      </c>
      <c r="Q120" s="17" t="s">
        <v>37</v>
      </c>
      <c r="R120" s="17" t="s">
        <v>36</v>
      </c>
      <c r="S120" s="17" t="s">
        <v>37</v>
      </c>
      <c r="T120" s="17" t="s">
        <v>36</v>
      </c>
      <c r="U120" s="17" t="s">
        <v>37</v>
      </c>
      <c r="V120" s="17" t="s">
        <v>36</v>
      </c>
      <c r="W120" s="17" t="s">
        <v>37</v>
      </c>
      <c r="X120" s="17" t="s">
        <v>36</v>
      </c>
      <c r="Y120" s="17" t="s">
        <v>37</v>
      </c>
      <c r="Z120" s="17" t="s">
        <v>36</v>
      </c>
      <c r="AA120" s="17" t="s">
        <v>37</v>
      </c>
      <c r="AB120" s="17" t="s">
        <v>36</v>
      </c>
      <c r="AC120" s="17" t="s">
        <v>37</v>
      </c>
      <c r="AD120" s="17" t="s">
        <v>36</v>
      </c>
      <c r="AE120" s="17" t="s">
        <v>37</v>
      </c>
      <c r="AF120" s="17" t="s">
        <v>36</v>
      </c>
      <c r="AG120" s="17" t="s">
        <v>37</v>
      </c>
      <c r="AH120" s="17" t="s">
        <v>36</v>
      </c>
      <c r="AI120" s="17" t="s">
        <v>37</v>
      </c>
      <c r="AJ120" s="17" t="s">
        <v>36</v>
      </c>
      <c r="AK120" s="17" t="s">
        <v>37</v>
      </c>
      <c r="AL120" s="17" t="s">
        <v>36</v>
      </c>
      <c r="AM120" s="17" t="s">
        <v>37</v>
      </c>
      <c r="AN120" s="18" t="s">
        <v>38</v>
      </c>
      <c r="AO120" s="18" t="s">
        <v>39</v>
      </c>
      <c r="AP120" s="18" t="s">
        <v>38</v>
      </c>
      <c r="AQ120" s="18" t="s">
        <v>39</v>
      </c>
      <c r="AR120" s="18" t="s">
        <v>38</v>
      </c>
      <c r="AS120" s="18" t="s">
        <v>39</v>
      </c>
      <c r="AT120" s="18" t="s">
        <v>38</v>
      </c>
      <c r="AU120" s="18" t="s">
        <v>39</v>
      </c>
      <c r="AV120" s="18" t="s">
        <v>38</v>
      </c>
      <c r="AW120" s="18" t="s">
        <v>39</v>
      </c>
      <c r="AX120" s="18" t="s">
        <v>38</v>
      </c>
      <c r="AY120" s="18" t="s">
        <v>39</v>
      </c>
      <c r="AZ120" s="19" t="s">
        <v>40</v>
      </c>
      <c r="BA120" s="20" t="s">
        <v>41</v>
      </c>
      <c r="BB120" s="19" t="s">
        <v>40</v>
      </c>
      <c r="BC120" s="20" t="s">
        <v>41</v>
      </c>
      <c r="BD120" s="19" t="s">
        <v>40</v>
      </c>
      <c r="BE120" s="20" t="s">
        <v>41</v>
      </c>
      <c r="BF120" s="19" t="s">
        <v>40</v>
      </c>
      <c r="BG120" s="20" t="s">
        <v>41</v>
      </c>
      <c r="BH120" s="19" t="s">
        <v>40</v>
      </c>
      <c r="BI120" s="20" t="s">
        <v>41</v>
      </c>
      <c r="BJ120" s="19" t="s">
        <v>40</v>
      </c>
      <c r="BK120" s="20" t="s">
        <v>41</v>
      </c>
      <c r="BL120" s="21" t="s">
        <v>41</v>
      </c>
      <c r="BM120" s="21" t="s">
        <v>41</v>
      </c>
      <c r="BN120" s="15"/>
      <c r="BO120" s="15"/>
      <c r="BP120" s="7"/>
      <c r="BQ120" s="7"/>
      <c r="BR120" s="7"/>
      <c r="BS120" s="7"/>
      <c r="BT120" s="7"/>
      <c r="BU120" s="7"/>
    </row>
    <row r="121" customFormat="false" ht="13.5" hidden="false" customHeight="true" outlineLevel="0" collapsed="false">
      <c r="A121" s="22" t="n">
        <v>1</v>
      </c>
      <c r="B121" s="23" t="n">
        <v>2</v>
      </c>
      <c r="C121" s="23" t="n">
        <f aca="false">+B121+1</f>
        <v>3</v>
      </c>
      <c r="D121" s="23" t="n">
        <v>4</v>
      </c>
      <c r="E121" s="23" t="n">
        <v>5</v>
      </c>
      <c r="F121" s="23" t="n">
        <v>6</v>
      </c>
      <c r="G121" s="23" t="n">
        <v>7</v>
      </c>
      <c r="H121" s="24" t="n">
        <v>8</v>
      </c>
      <c r="I121" s="24"/>
      <c r="J121" s="24"/>
      <c r="K121" s="24"/>
      <c r="L121" s="24"/>
      <c r="M121" s="24"/>
      <c r="N121" s="25" t="n">
        <v>9</v>
      </c>
      <c r="O121" s="24" t="n">
        <v>10</v>
      </c>
      <c r="P121" s="24" t="n">
        <v>11</v>
      </c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3" t="n">
        <v>12</v>
      </c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13" t="n">
        <v>13</v>
      </c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4" t="n">
        <v>14</v>
      </c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5" t="n">
        <v>15</v>
      </c>
      <c r="BM121" s="15"/>
      <c r="BN121" s="15"/>
      <c r="BO121" s="15"/>
      <c r="BP121" s="24" t="n">
        <v>16</v>
      </c>
      <c r="BQ121" s="24"/>
      <c r="BR121" s="24"/>
      <c r="BS121" s="24" t="n">
        <v>17</v>
      </c>
      <c r="BT121" s="24"/>
      <c r="BU121" s="24"/>
    </row>
    <row r="122" customFormat="false" ht="32.25" hidden="false" customHeight="true" outlineLevel="0" collapsed="false">
      <c r="A122" s="27" t="n">
        <v>1</v>
      </c>
      <c r="B122" s="28" t="s">
        <v>42</v>
      </c>
      <c r="C122" s="10" t="n">
        <v>3</v>
      </c>
      <c r="D122" s="10" t="n">
        <v>0</v>
      </c>
      <c r="E122" s="10" t="n">
        <v>3</v>
      </c>
      <c r="F122" s="10" t="n">
        <v>0</v>
      </c>
      <c r="G122" s="10" t="n">
        <v>0</v>
      </c>
      <c r="H122" s="29" t="n">
        <v>200</v>
      </c>
      <c r="I122" s="29" t="n">
        <v>243</v>
      </c>
      <c r="J122" s="30" t="n">
        <v>180</v>
      </c>
      <c r="K122" s="30" t="n">
        <v>209</v>
      </c>
      <c r="L122" s="30" t="n">
        <v>110</v>
      </c>
      <c r="M122" s="30" t="n">
        <v>117</v>
      </c>
      <c r="N122" s="31" t="n">
        <f aca="false">SUM(J122:M122)</f>
        <v>616</v>
      </c>
      <c r="O122" s="32" t="n">
        <v>0</v>
      </c>
      <c r="P122" s="33" t="n">
        <f aca="false">P100+Q100</f>
        <v>64</v>
      </c>
      <c r="Q122" s="33" t="n">
        <v>6</v>
      </c>
      <c r="R122" s="33" t="n">
        <f aca="false">R100+S100</f>
        <v>150</v>
      </c>
      <c r="S122" s="33" t="n">
        <v>9</v>
      </c>
      <c r="T122" s="33" t="n">
        <f aca="false">T100+U100</f>
        <v>45</v>
      </c>
      <c r="U122" s="34" t="n">
        <v>9</v>
      </c>
      <c r="V122" s="33" t="n">
        <f aca="false">V100+W100</f>
        <v>77</v>
      </c>
      <c r="W122" s="34" t="n">
        <v>10</v>
      </c>
      <c r="X122" s="33" t="n">
        <f aca="false">X100+Y100</f>
        <v>69</v>
      </c>
      <c r="Y122" s="34" t="n">
        <v>13</v>
      </c>
      <c r="Z122" s="33" t="n">
        <f aca="false">Z100+AA100</f>
        <v>54</v>
      </c>
      <c r="AA122" s="34" t="n">
        <v>10</v>
      </c>
      <c r="AB122" s="33" t="n">
        <f aca="false">AB100+AC100</f>
        <v>26</v>
      </c>
      <c r="AC122" s="33" t="n">
        <v>6</v>
      </c>
      <c r="AD122" s="33" t="n">
        <f aca="false">AD100+AE100</f>
        <v>42</v>
      </c>
      <c r="AE122" s="33" t="n">
        <v>12</v>
      </c>
      <c r="AF122" s="33" t="n">
        <f aca="false">AF100+AG100</f>
        <v>42</v>
      </c>
      <c r="AG122" s="34" t="n">
        <v>10</v>
      </c>
      <c r="AH122" s="33" t="n">
        <f aca="false">AH100+AI100</f>
        <v>48</v>
      </c>
      <c r="AI122" s="34" t="n">
        <v>11</v>
      </c>
      <c r="AJ122" s="33" t="n">
        <f aca="false">AJ100+AK100</f>
        <v>11</v>
      </c>
      <c r="AK122" s="34" t="n">
        <v>6</v>
      </c>
      <c r="AL122" s="33" t="n">
        <f aca="false">AL100+AM100</f>
        <v>17</v>
      </c>
      <c r="AM122" s="34" t="n">
        <v>7</v>
      </c>
      <c r="AN122" s="35" t="n">
        <f aca="false">P122+AB122</f>
        <v>90</v>
      </c>
      <c r="AO122" s="35" t="n">
        <f aca="false">Q122+AC122</f>
        <v>12</v>
      </c>
      <c r="AP122" s="35" t="n">
        <f aca="false">R122+AD122</f>
        <v>192</v>
      </c>
      <c r="AQ122" s="35" t="n">
        <f aca="false">S122+AE122</f>
        <v>21</v>
      </c>
      <c r="AR122" s="35" t="n">
        <f aca="false">T122+AF122</f>
        <v>87</v>
      </c>
      <c r="AS122" s="35" t="n">
        <f aca="false">U122+AG122</f>
        <v>19</v>
      </c>
      <c r="AT122" s="35" t="n">
        <f aca="false">V122+AH122</f>
        <v>125</v>
      </c>
      <c r="AU122" s="35" t="n">
        <f aca="false">W122+AI122</f>
        <v>21</v>
      </c>
      <c r="AV122" s="35" t="n">
        <f aca="false">X122+AJ122</f>
        <v>80</v>
      </c>
      <c r="AW122" s="35" t="n">
        <f aca="false">Y122+AK122</f>
        <v>19</v>
      </c>
      <c r="AX122" s="35" t="n">
        <f aca="false">Z122+AL122</f>
        <v>71</v>
      </c>
      <c r="AY122" s="35" t="n">
        <f aca="false">AA122+AM122</f>
        <v>17</v>
      </c>
      <c r="AZ122" s="36" t="n">
        <f aca="false">AO122</f>
        <v>12</v>
      </c>
      <c r="BA122" s="36" t="n">
        <f aca="false">SUM(AN122:AO122)</f>
        <v>102</v>
      </c>
      <c r="BB122" s="36" t="n">
        <f aca="false">S122+AE122</f>
        <v>21</v>
      </c>
      <c r="BC122" s="36" t="n">
        <f aca="false">SUM(AP122:AQ122)</f>
        <v>213</v>
      </c>
      <c r="BD122" s="36" t="n">
        <f aca="false">U122+AG122</f>
        <v>19</v>
      </c>
      <c r="BE122" s="36" t="n">
        <f aca="false">SUM(AR122:AS122)</f>
        <v>106</v>
      </c>
      <c r="BF122" s="36" t="n">
        <f aca="false">W122+AI122</f>
        <v>21</v>
      </c>
      <c r="BG122" s="36" t="n">
        <f aca="false">SUM(AT122:AU122)</f>
        <v>146</v>
      </c>
      <c r="BH122" s="36" t="n">
        <f aca="false">Y122+AK122</f>
        <v>19</v>
      </c>
      <c r="BI122" s="36" t="n">
        <f aca="false">SUM(AV122:AW122)</f>
        <v>99</v>
      </c>
      <c r="BJ122" s="36" t="n">
        <f aca="false">AA122+AM122</f>
        <v>17</v>
      </c>
      <c r="BK122" s="36" t="n">
        <f aca="false">SUM(AX122:AY122)</f>
        <v>88</v>
      </c>
      <c r="BL122" s="37" t="n">
        <f aca="false">BE122+BI122</f>
        <v>205</v>
      </c>
      <c r="BM122" s="37" t="n">
        <f aca="false">BG122+BK122</f>
        <v>234</v>
      </c>
      <c r="BN122" s="38" t="n">
        <f aca="false">BL122+BM122</f>
        <v>439</v>
      </c>
      <c r="BO122" s="39" t="n">
        <f aca="false">BN122/N122*100</f>
        <v>71.2662337662338</v>
      </c>
      <c r="BP122" s="10" t="n">
        <v>32</v>
      </c>
      <c r="BQ122" s="10" t="n">
        <v>0</v>
      </c>
      <c r="BR122" s="10" t="n">
        <v>0</v>
      </c>
      <c r="BS122" s="10" t="n">
        <v>21</v>
      </c>
      <c r="BT122" s="10" t="n">
        <v>0</v>
      </c>
      <c r="BU122" s="10" t="n">
        <v>0</v>
      </c>
    </row>
    <row r="123" customFormat="false" ht="32.25" hidden="false" customHeight="true" outlineLevel="0" collapsed="false">
      <c r="A123" s="27" t="n">
        <v>2</v>
      </c>
      <c r="B123" s="28" t="s">
        <v>43</v>
      </c>
      <c r="C123" s="10" t="n">
        <v>3</v>
      </c>
      <c r="D123" s="10" t="n">
        <v>0</v>
      </c>
      <c r="E123" s="10" t="n">
        <v>3</v>
      </c>
      <c r="F123" s="10" t="n">
        <v>0</v>
      </c>
      <c r="G123" s="10" t="n">
        <v>0</v>
      </c>
      <c r="H123" s="29" t="n">
        <v>385</v>
      </c>
      <c r="I123" s="29" t="n">
        <v>393</v>
      </c>
      <c r="J123" s="30" t="n">
        <v>165</v>
      </c>
      <c r="K123" s="30" t="n">
        <v>177</v>
      </c>
      <c r="L123" s="30" t="n">
        <v>95</v>
      </c>
      <c r="M123" s="30" t="n">
        <v>104</v>
      </c>
      <c r="N123" s="31" t="n">
        <f aca="false">SUM(J123:M123)</f>
        <v>541</v>
      </c>
      <c r="O123" s="32" t="n">
        <v>0</v>
      </c>
      <c r="P123" s="33" t="n">
        <f aca="false">P101+Q101</f>
        <v>48</v>
      </c>
      <c r="Q123" s="33" t="n">
        <v>15</v>
      </c>
      <c r="R123" s="33" t="n">
        <f aca="false">R101+S101</f>
        <v>130</v>
      </c>
      <c r="S123" s="33" t="n">
        <v>5</v>
      </c>
      <c r="T123" s="33" t="n">
        <f aca="false">T101+U101</f>
        <v>63</v>
      </c>
      <c r="U123" s="34" t="n">
        <v>3</v>
      </c>
      <c r="V123" s="33" t="n">
        <f aca="false">V101+W101</f>
        <v>71</v>
      </c>
      <c r="W123" s="34" t="n">
        <v>3</v>
      </c>
      <c r="X123" s="33" t="n">
        <f aca="false">X101+Y101</f>
        <v>37</v>
      </c>
      <c r="Y123" s="34" t="n">
        <v>2</v>
      </c>
      <c r="Z123" s="33" t="n">
        <f aca="false">Z101+AA101</f>
        <v>41</v>
      </c>
      <c r="AA123" s="34" t="n">
        <v>9</v>
      </c>
      <c r="AB123" s="33" t="n">
        <f aca="false">AB101+AC101</f>
        <v>21</v>
      </c>
      <c r="AC123" s="33" t="n">
        <v>4</v>
      </c>
      <c r="AD123" s="33" t="n">
        <f aca="false">AD101+AE101</f>
        <v>36</v>
      </c>
      <c r="AE123" s="33" t="n">
        <v>4</v>
      </c>
      <c r="AF123" s="33" t="n">
        <f aca="false">AF101+AG101</f>
        <v>16</v>
      </c>
      <c r="AG123" s="34" t="n">
        <v>2</v>
      </c>
      <c r="AH123" s="33" t="n">
        <f aca="false">AH101+AI101</f>
        <v>24</v>
      </c>
      <c r="AI123" s="34" t="n">
        <v>3</v>
      </c>
      <c r="AJ123" s="33" t="n">
        <f aca="false">AJ101+AK101</f>
        <v>11</v>
      </c>
      <c r="AK123" s="34" t="n">
        <v>2</v>
      </c>
      <c r="AL123" s="33" t="n">
        <f aca="false">AL101+AM101</f>
        <v>17</v>
      </c>
      <c r="AM123" s="34" t="n">
        <v>3</v>
      </c>
      <c r="AN123" s="35" t="n">
        <f aca="false">P123+AB123</f>
        <v>69</v>
      </c>
      <c r="AO123" s="35" t="n">
        <f aca="false">Q123+AC123</f>
        <v>19</v>
      </c>
      <c r="AP123" s="35" t="n">
        <f aca="false">R123+AD123</f>
        <v>166</v>
      </c>
      <c r="AQ123" s="35" t="n">
        <f aca="false">S123+AE123</f>
        <v>9</v>
      </c>
      <c r="AR123" s="35" t="n">
        <f aca="false">T123+AF123</f>
        <v>79</v>
      </c>
      <c r="AS123" s="35" t="n">
        <f aca="false">U123+AG123</f>
        <v>5</v>
      </c>
      <c r="AT123" s="35" t="n">
        <f aca="false">V123+AH123</f>
        <v>95</v>
      </c>
      <c r="AU123" s="35" t="n">
        <f aca="false">W123+AI123</f>
        <v>6</v>
      </c>
      <c r="AV123" s="35" t="n">
        <f aca="false">X123+AJ123</f>
        <v>48</v>
      </c>
      <c r="AW123" s="35" t="n">
        <f aca="false">Y123+AK123</f>
        <v>4</v>
      </c>
      <c r="AX123" s="35" t="n">
        <f aca="false">Z123+AL123</f>
        <v>58</v>
      </c>
      <c r="AY123" s="35" t="n">
        <f aca="false">AA123+AM123</f>
        <v>12</v>
      </c>
      <c r="AZ123" s="36" t="n">
        <f aca="false">AO123</f>
        <v>19</v>
      </c>
      <c r="BA123" s="36" t="n">
        <f aca="false">SUM(AN123:AO123)</f>
        <v>88</v>
      </c>
      <c r="BB123" s="36" t="n">
        <f aca="false">S123+AE123</f>
        <v>9</v>
      </c>
      <c r="BC123" s="36" t="n">
        <f aca="false">SUM(AP123:AQ123)</f>
        <v>175</v>
      </c>
      <c r="BD123" s="36" t="n">
        <f aca="false">U123+AG123</f>
        <v>5</v>
      </c>
      <c r="BE123" s="36" t="n">
        <f aca="false">SUM(AR123:AS123)</f>
        <v>84</v>
      </c>
      <c r="BF123" s="36" t="n">
        <f aca="false">W123+AI123</f>
        <v>6</v>
      </c>
      <c r="BG123" s="36" t="n">
        <f aca="false">SUM(AT123:AU123)</f>
        <v>101</v>
      </c>
      <c r="BH123" s="36" t="n">
        <f aca="false">Y123+AK123</f>
        <v>4</v>
      </c>
      <c r="BI123" s="36" t="n">
        <f aca="false">SUM(AV123:AW123)</f>
        <v>52</v>
      </c>
      <c r="BJ123" s="36" t="n">
        <f aca="false">AA123+AM123</f>
        <v>12</v>
      </c>
      <c r="BK123" s="36" t="n">
        <f aca="false">SUM(AX123:AY123)</f>
        <v>70</v>
      </c>
      <c r="BL123" s="37" t="n">
        <f aca="false">BE123+BI123</f>
        <v>136</v>
      </c>
      <c r="BM123" s="37" t="n">
        <f aca="false">BG123+BK123</f>
        <v>171</v>
      </c>
      <c r="BN123" s="38" t="n">
        <f aca="false">BL123+BM123</f>
        <v>307</v>
      </c>
      <c r="BO123" s="39" t="n">
        <f aca="false">BN123/N123*100</f>
        <v>56.7467652495379</v>
      </c>
      <c r="BP123" s="10" t="n">
        <v>30</v>
      </c>
      <c r="BQ123" s="10" t="n">
        <v>0</v>
      </c>
      <c r="BR123" s="10" t="n">
        <v>0</v>
      </c>
      <c r="BS123" s="10" t="n">
        <v>21</v>
      </c>
      <c r="BT123" s="10" t="n">
        <v>0</v>
      </c>
      <c r="BU123" s="10" t="n">
        <v>0</v>
      </c>
    </row>
    <row r="124" customFormat="false" ht="32.25" hidden="false" customHeight="true" outlineLevel="0" collapsed="false">
      <c r="A124" s="27" t="n">
        <v>3</v>
      </c>
      <c r="B124" s="28" t="s">
        <v>44</v>
      </c>
      <c r="C124" s="10" t="n">
        <v>2</v>
      </c>
      <c r="D124" s="10" t="n">
        <v>0</v>
      </c>
      <c r="E124" s="10" t="n">
        <v>2</v>
      </c>
      <c r="F124" s="10" t="n">
        <v>0</v>
      </c>
      <c r="G124" s="10" t="n">
        <v>0</v>
      </c>
      <c r="H124" s="29" t="n">
        <v>178</v>
      </c>
      <c r="I124" s="29" t="n">
        <v>178</v>
      </c>
      <c r="J124" s="30" t="n">
        <v>70</v>
      </c>
      <c r="K124" s="30" t="n">
        <v>87</v>
      </c>
      <c r="L124" s="30" t="n">
        <v>45</v>
      </c>
      <c r="M124" s="30" t="n">
        <v>46</v>
      </c>
      <c r="N124" s="31" t="n">
        <f aca="false">SUM(J124:M124)</f>
        <v>248</v>
      </c>
      <c r="O124" s="32" t="n">
        <v>0</v>
      </c>
      <c r="P124" s="33" t="n">
        <f aca="false">P102+Q102</f>
        <v>19</v>
      </c>
      <c r="Q124" s="33" t="n">
        <v>8</v>
      </c>
      <c r="R124" s="33" t="n">
        <f aca="false">R102+S102</f>
        <v>48</v>
      </c>
      <c r="S124" s="33" t="n">
        <v>6</v>
      </c>
      <c r="T124" s="33" t="n">
        <f aca="false">T102+U102</f>
        <v>21</v>
      </c>
      <c r="U124" s="34" t="n">
        <v>3</v>
      </c>
      <c r="V124" s="33" t="n">
        <f aca="false">V102+W102</f>
        <v>19</v>
      </c>
      <c r="W124" s="34" t="n">
        <v>5</v>
      </c>
      <c r="X124" s="33" t="n">
        <f aca="false">X102+Y102</f>
        <v>6</v>
      </c>
      <c r="Y124" s="34" t="n">
        <v>1</v>
      </c>
      <c r="Z124" s="33" t="n">
        <f aca="false">Z102+AA102</f>
        <v>11</v>
      </c>
      <c r="AA124" s="34" t="n">
        <v>3</v>
      </c>
      <c r="AB124" s="33" t="n">
        <f aca="false">AB102+AC102</f>
        <v>4</v>
      </c>
      <c r="AC124" s="33" t="n">
        <v>4</v>
      </c>
      <c r="AD124" s="33" t="n">
        <f aca="false">AD102+AE102</f>
        <v>7</v>
      </c>
      <c r="AE124" s="33" t="n">
        <v>5</v>
      </c>
      <c r="AF124" s="33" t="n">
        <f aca="false">AF102+AG102</f>
        <v>1</v>
      </c>
      <c r="AG124" s="34" t="n">
        <v>2</v>
      </c>
      <c r="AH124" s="33" t="n">
        <f aca="false">AH102+AI102</f>
        <v>6</v>
      </c>
      <c r="AI124" s="34" t="n">
        <v>8</v>
      </c>
      <c r="AJ124" s="33" t="n">
        <f aca="false">AJ102+AK102</f>
        <v>0</v>
      </c>
      <c r="AK124" s="34" t="n">
        <v>0</v>
      </c>
      <c r="AL124" s="33" t="n">
        <f aca="false">AL102+AM102</f>
        <v>4</v>
      </c>
      <c r="AM124" s="34" t="n">
        <v>2</v>
      </c>
      <c r="AN124" s="35" t="n">
        <f aca="false">P124+AB124</f>
        <v>23</v>
      </c>
      <c r="AO124" s="35" t="n">
        <f aca="false">Q124+AC124</f>
        <v>12</v>
      </c>
      <c r="AP124" s="35" t="n">
        <f aca="false">R124+AD124</f>
        <v>55</v>
      </c>
      <c r="AQ124" s="35" t="n">
        <f aca="false">S124+AE124</f>
        <v>11</v>
      </c>
      <c r="AR124" s="35" t="n">
        <f aca="false">T124+AF124</f>
        <v>22</v>
      </c>
      <c r="AS124" s="35" t="n">
        <f aca="false">U124+AG124</f>
        <v>5</v>
      </c>
      <c r="AT124" s="35" t="n">
        <f aca="false">V124+AH124</f>
        <v>25</v>
      </c>
      <c r="AU124" s="35" t="n">
        <f aca="false">W124+AI124</f>
        <v>13</v>
      </c>
      <c r="AV124" s="35" t="n">
        <f aca="false">X124+AJ124</f>
        <v>6</v>
      </c>
      <c r="AW124" s="35" t="n">
        <f aca="false">Y124+AK124</f>
        <v>1</v>
      </c>
      <c r="AX124" s="35" t="n">
        <f aca="false">Z124+AL124</f>
        <v>15</v>
      </c>
      <c r="AY124" s="35" t="n">
        <f aca="false">AA124+AM124</f>
        <v>5</v>
      </c>
      <c r="AZ124" s="36" t="n">
        <f aca="false">AO124</f>
        <v>12</v>
      </c>
      <c r="BA124" s="36" t="n">
        <f aca="false">SUM(AN124:AO124)</f>
        <v>35</v>
      </c>
      <c r="BB124" s="36" t="n">
        <f aca="false">S124+AE124</f>
        <v>11</v>
      </c>
      <c r="BC124" s="36" t="n">
        <f aca="false">SUM(AP124:AQ124)</f>
        <v>66</v>
      </c>
      <c r="BD124" s="36" t="n">
        <f aca="false">U124+AG124</f>
        <v>5</v>
      </c>
      <c r="BE124" s="36" t="n">
        <f aca="false">SUM(AR124:AS124)</f>
        <v>27</v>
      </c>
      <c r="BF124" s="36" t="n">
        <f aca="false">W124+AI124</f>
        <v>13</v>
      </c>
      <c r="BG124" s="36" t="n">
        <f aca="false">SUM(AT124:AU124)</f>
        <v>38</v>
      </c>
      <c r="BH124" s="36" t="n">
        <f aca="false">Y124+AK124</f>
        <v>1</v>
      </c>
      <c r="BI124" s="36" t="n">
        <f aca="false">SUM(AV124:AW124)</f>
        <v>7</v>
      </c>
      <c r="BJ124" s="36" t="n">
        <f aca="false">AA124+AM124</f>
        <v>5</v>
      </c>
      <c r="BK124" s="36" t="n">
        <f aca="false">SUM(AX124:AY124)</f>
        <v>20</v>
      </c>
      <c r="BL124" s="37" t="n">
        <f aca="false">BE124+BI124</f>
        <v>34</v>
      </c>
      <c r="BM124" s="37" t="n">
        <f aca="false">BG124+BK124</f>
        <v>58</v>
      </c>
      <c r="BN124" s="38" t="n">
        <f aca="false">BL124+BM124</f>
        <v>92</v>
      </c>
      <c r="BO124" s="39" t="n">
        <f aca="false">BN124/N124*100</f>
        <v>37.0967741935484</v>
      </c>
      <c r="BP124" s="10" t="n">
        <v>1</v>
      </c>
      <c r="BQ124" s="10" t="n">
        <v>0</v>
      </c>
      <c r="BR124" s="10" t="n">
        <v>0</v>
      </c>
      <c r="BS124" s="10" t="n">
        <v>0</v>
      </c>
      <c r="BT124" s="10" t="n">
        <v>0</v>
      </c>
      <c r="BU124" s="10" t="n">
        <v>0</v>
      </c>
    </row>
    <row r="125" customFormat="false" ht="32.25" hidden="false" customHeight="true" outlineLevel="0" collapsed="false">
      <c r="A125" s="27" t="n">
        <v>4</v>
      </c>
      <c r="B125" s="28" t="s">
        <v>45</v>
      </c>
      <c r="C125" s="10" t="n">
        <v>2</v>
      </c>
      <c r="D125" s="10" t="n">
        <v>0</v>
      </c>
      <c r="E125" s="10" t="n">
        <v>2</v>
      </c>
      <c r="F125" s="10" t="n">
        <v>0</v>
      </c>
      <c r="G125" s="10" t="n">
        <v>0</v>
      </c>
      <c r="H125" s="29" t="n">
        <v>245</v>
      </c>
      <c r="I125" s="29" t="n">
        <v>248</v>
      </c>
      <c r="J125" s="30" t="n">
        <v>100</v>
      </c>
      <c r="K125" s="30" t="n">
        <v>117</v>
      </c>
      <c r="L125" s="30" t="n">
        <v>60</v>
      </c>
      <c r="M125" s="30" t="n">
        <v>66</v>
      </c>
      <c r="N125" s="31" t="n">
        <f aca="false">SUM(J125:M125)</f>
        <v>343</v>
      </c>
      <c r="O125" s="32" t="n">
        <v>0</v>
      </c>
      <c r="P125" s="33" t="n">
        <f aca="false">P103+Q103</f>
        <v>26</v>
      </c>
      <c r="Q125" s="42" t="n">
        <v>10</v>
      </c>
      <c r="R125" s="33" t="n">
        <f aca="false">R103+S103</f>
        <v>57</v>
      </c>
      <c r="S125" s="33" t="n">
        <v>7</v>
      </c>
      <c r="T125" s="33" t="n">
        <f aca="false">T103+U103</f>
        <v>18</v>
      </c>
      <c r="U125" s="34" t="n">
        <v>6</v>
      </c>
      <c r="V125" s="33" t="n">
        <f aca="false">V103+W103</f>
        <v>50</v>
      </c>
      <c r="W125" s="34" t="n">
        <v>10</v>
      </c>
      <c r="X125" s="33" t="n">
        <f aca="false">X103+Y103</f>
        <v>16</v>
      </c>
      <c r="Y125" s="34" t="n">
        <v>6</v>
      </c>
      <c r="Z125" s="33" t="n">
        <f aca="false">Z103+AA103</f>
        <v>23</v>
      </c>
      <c r="AA125" s="34" t="n">
        <v>6</v>
      </c>
      <c r="AB125" s="33" t="n">
        <f aca="false">AB103+AC103</f>
        <v>29</v>
      </c>
      <c r="AC125" s="43" t="n">
        <v>10</v>
      </c>
      <c r="AD125" s="33" t="n">
        <f aca="false">AD103+AE103</f>
        <v>30</v>
      </c>
      <c r="AE125" s="33" t="n">
        <v>9</v>
      </c>
      <c r="AF125" s="33" t="n">
        <f aca="false">AF103+AG103</f>
        <v>30</v>
      </c>
      <c r="AG125" s="34" t="n">
        <v>8</v>
      </c>
      <c r="AH125" s="33" t="n">
        <f aca="false">AH103+AI103</f>
        <v>44</v>
      </c>
      <c r="AI125" s="34" t="n">
        <v>5</v>
      </c>
      <c r="AJ125" s="33" t="n">
        <f aca="false">AJ103+AK103</f>
        <v>30</v>
      </c>
      <c r="AK125" s="34" t="n">
        <v>7</v>
      </c>
      <c r="AL125" s="33" t="n">
        <f aca="false">AL103+AM103</f>
        <v>35</v>
      </c>
      <c r="AM125" s="34" t="n">
        <v>8</v>
      </c>
      <c r="AN125" s="35" t="n">
        <f aca="false">P125+AB125</f>
        <v>55</v>
      </c>
      <c r="AO125" s="35" t="n">
        <f aca="false">Q125+AC125</f>
        <v>20</v>
      </c>
      <c r="AP125" s="35" t="n">
        <f aca="false">R125+AD125</f>
        <v>87</v>
      </c>
      <c r="AQ125" s="35" t="n">
        <f aca="false">S125+AE125</f>
        <v>16</v>
      </c>
      <c r="AR125" s="35" t="n">
        <f aca="false">T125+AF125</f>
        <v>48</v>
      </c>
      <c r="AS125" s="35" t="n">
        <f aca="false">U125+AG125</f>
        <v>14</v>
      </c>
      <c r="AT125" s="35" t="n">
        <f aca="false">V125+AH125</f>
        <v>94</v>
      </c>
      <c r="AU125" s="35" t="n">
        <f aca="false">W125+AI125</f>
        <v>15</v>
      </c>
      <c r="AV125" s="35" t="n">
        <f aca="false">X125+AJ125</f>
        <v>46</v>
      </c>
      <c r="AW125" s="35" t="n">
        <f aca="false">Y125+AK125</f>
        <v>13</v>
      </c>
      <c r="AX125" s="35" t="n">
        <f aca="false">Z125+AL125</f>
        <v>58</v>
      </c>
      <c r="AY125" s="35" t="n">
        <f aca="false">AA125+AM125</f>
        <v>14</v>
      </c>
      <c r="AZ125" s="36" t="n">
        <f aca="false">AO125</f>
        <v>20</v>
      </c>
      <c r="BA125" s="36" t="n">
        <f aca="false">SUM(AN125:AO125)</f>
        <v>75</v>
      </c>
      <c r="BB125" s="36" t="n">
        <f aca="false">S125+AE125</f>
        <v>16</v>
      </c>
      <c r="BC125" s="36" t="n">
        <f aca="false">SUM(AP125:AQ125)</f>
        <v>103</v>
      </c>
      <c r="BD125" s="36" t="n">
        <f aca="false">U125+AG125</f>
        <v>14</v>
      </c>
      <c r="BE125" s="36" t="n">
        <f aca="false">SUM(AR125:AS125)</f>
        <v>62</v>
      </c>
      <c r="BF125" s="36" t="n">
        <f aca="false">W125+AI125</f>
        <v>15</v>
      </c>
      <c r="BG125" s="36" t="n">
        <f aca="false">SUM(AT125:AU125)</f>
        <v>109</v>
      </c>
      <c r="BH125" s="36" t="n">
        <f aca="false">Y125+AK125</f>
        <v>13</v>
      </c>
      <c r="BI125" s="36" t="n">
        <f aca="false">SUM(AV125:AW125)</f>
        <v>59</v>
      </c>
      <c r="BJ125" s="36" t="n">
        <f aca="false">AA125+AM125</f>
        <v>14</v>
      </c>
      <c r="BK125" s="36" t="n">
        <f aca="false">SUM(AX125:AY125)</f>
        <v>72</v>
      </c>
      <c r="BL125" s="37" t="n">
        <f aca="false">BE125+BI125</f>
        <v>121</v>
      </c>
      <c r="BM125" s="37" t="n">
        <f aca="false">BG125+BK125</f>
        <v>181</v>
      </c>
      <c r="BN125" s="38" t="n">
        <f aca="false">BL125+BM125</f>
        <v>302</v>
      </c>
      <c r="BO125" s="39" t="n">
        <f aca="false">BN125/N125*100</f>
        <v>88.0466472303207</v>
      </c>
      <c r="BP125" s="10" t="n">
        <v>28</v>
      </c>
      <c r="BQ125" s="10" t="n">
        <v>0</v>
      </c>
      <c r="BR125" s="10" t="n">
        <v>0</v>
      </c>
      <c r="BS125" s="10" t="n">
        <v>17</v>
      </c>
      <c r="BT125" s="10" t="n">
        <v>0</v>
      </c>
      <c r="BU125" s="10" t="n">
        <v>0</v>
      </c>
    </row>
    <row r="126" customFormat="false" ht="32.25" hidden="false" customHeight="true" outlineLevel="0" collapsed="false">
      <c r="A126" s="27" t="n">
        <v>5</v>
      </c>
      <c r="B126" s="28" t="s">
        <v>46</v>
      </c>
      <c r="C126" s="10" t="n">
        <v>2</v>
      </c>
      <c r="D126" s="10" t="n">
        <v>0</v>
      </c>
      <c r="E126" s="10" t="n">
        <v>2</v>
      </c>
      <c r="F126" s="10" t="n">
        <v>0</v>
      </c>
      <c r="G126" s="10" t="n">
        <v>0</v>
      </c>
      <c r="H126" s="29" t="n">
        <v>238</v>
      </c>
      <c r="I126" s="29" t="n">
        <v>239</v>
      </c>
      <c r="J126" s="30" t="n">
        <v>95</v>
      </c>
      <c r="K126" s="30" t="n">
        <v>114</v>
      </c>
      <c r="L126" s="30" t="n">
        <v>55</v>
      </c>
      <c r="M126" s="30" t="n">
        <v>67</v>
      </c>
      <c r="N126" s="31" t="n">
        <f aca="false">SUM(J126:M126)</f>
        <v>331</v>
      </c>
      <c r="O126" s="32" t="n">
        <v>0</v>
      </c>
      <c r="P126" s="33" t="n">
        <f aca="false">P104+Q104</f>
        <v>34</v>
      </c>
      <c r="Q126" s="43" t="n">
        <v>8</v>
      </c>
      <c r="R126" s="33" t="n">
        <f aca="false">R104+S104</f>
        <v>72</v>
      </c>
      <c r="S126" s="33" t="n">
        <v>5</v>
      </c>
      <c r="T126" s="33" t="n">
        <f aca="false">T104+U104</f>
        <v>54</v>
      </c>
      <c r="U126" s="34" t="n">
        <v>3</v>
      </c>
      <c r="V126" s="33" t="n">
        <f aca="false">V104+W104</f>
        <v>55</v>
      </c>
      <c r="W126" s="34" t="n">
        <v>2</v>
      </c>
      <c r="X126" s="33" t="n">
        <f aca="false">X104+Y104</f>
        <v>7</v>
      </c>
      <c r="Y126" s="34" t="n">
        <v>4</v>
      </c>
      <c r="Z126" s="33" t="n">
        <f aca="false">Z104+AA104</f>
        <v>19</v>
      </c>
      <c r="AA126" s="34" t="n">
        <v>3</v>
      </c>
      <c r="AB126" s="33" t="n">
        <f aca="false">AB104+AC104</f>
        <v>6</v>
      </c>
      <c r="AC126" s="43" t="n">
        <v>1</v>
      </c>
      <c r="AD126" s="33" t="n">
        <f aca="false">AD104+AE104</f>
        <v>32</v>
      </c>
      <c r="AE126" s="33" t="n">
        <v>2</v>
      </c>
      <c r="AF126" s="33" t="n">
        <f aca="false">AF104+AG104</f>
        <v>5</v>
      </c>
      <c r="AG126" s="34" t="n">
        <v>2</v>
      </c>
      <c r="AH126" s="33" t="n">
        <f aca="false">AH104+AI104</f>
        <v>25</v>
      </c>
      <c r="AI126" s="34" t="n">
        <v>3</v>
      </c>
      <c r="AJ126" s="33" t="n">
        <f aca="false">AJ104+AK104</f>
        <v>3</v>
      </c>
      <c r="AK126" s="34" t="n">
        <v>1</v>
      </c>
      <c r="AL126" s="33" t="n">
        <f aca="false">AL104+AM104</f>
        <v>6</v>
      </c>
      <c r="AM126" s="34" t="n">
        <v>1</v>
      </c>
      <c r="AN126" s="35" t="n">
        <f aca="false">P126+AB126</f>
        <v>40</v>
      </c>
      <c r="AO126" s="35" t="n">
        <f aca="false">Q126+AC126</f>
        <v>9</v>
      </c>
      <c r="AP126" s="35" t="n">
        <f aca="false">R126+AD126</f>
        <v>104</v>
      </c>
      <c r="AQ126" s="35" t="n">
        <f aca="false">S126+AE126</f>
        <v>7</v>
      </c>
      <c r="AR126" s="35" t="n">
        <f aca="false">T126+AF126</f>
        <v>59</v>
      </c>
      <c r="AS126" s="35" t="n">
        <f aca="false">U126+AG126</f>
        <v>5</v>
      </c>
      <c r="AT126" s="35" t="n">
        <f aca="false">V126+AH126</f>
        <v>80</v>
      </c>
      <c r="AU126" s="35" t="n">
        <f aca="false">W126+AI126</f>
        <v>5</v>
      </c>
      <c r="AV126" s="35" t="n">
        <f aca="false">X126+AJ126</f>
        <v>10</v>
      </c>
      <c r="AW126" s="35" t="n">
        <f aca="false">Y126+AK126</f>
        <v>5</v>
      </c>
      <c r="AX126" s="35" t="n">
        <f aca="false">Z126+AL126</f>
        <v>25</v>
      </c>
      <c r="AY126" s="35" t="n">
        <f aca="false">AA126+AM126</f>
        <v>4</v>
      </c>
      <c r="AZ126" s="36" t="n">
        <f aca="false">AO126</f>
        <v>9</v>
      </c>
      <c r="BA126" s="36" t="n">
        <f aca="false">SUM(AN126:AO126)</f>
        <v>49</v>
      </c>
      <c r="BB126" s="36" t="n">
        <f aca="false">S126+AE126</f>
        <v>7</v>
      </c>
      <c r="BC126" s="36" t="n">
        <f aca="false">SUM(AP126:AQ126)</f>
        <v>111</v>
      </c>
      <c r="BD126" s="36" t="n">
        <f aca="false">U126+AG126</f>
        <v>5</v>
      </c>
      <c r="BE126" s="36" t="n">
        <f aca="false">SUM(AR126:AS126)</f>
        <v>64</v>
      </c>
      <c r="BF126" s="36" t="n">
        <f aca="false">W126+AI126</f>
        <v>5</v>
      </c>
      <c r="BG126" s="36" t="n">
        <f aca="false">SUM(AT126:AU126)</f>
        <v>85</v>
      </c>
      <c r="BH126" s="36" t="n">
        <f aca="false">Y126+AK126</f>
        <v>5</v>
      </c>
      <c r="BI126" s="36" t="n">
        <f aca="false">SUM(AV126:AW126)</f>
        <v>15</v>
      </c>
      <c r="BJ126" s="36" t="n">
        <f aca="false">AA126+AM126</f>
        <v>4</v>
      </c>
      <c r="BK126" s="36" t="n">
        <f aca="false">SUM(AX126:AY126)</f>
        <v>29</v>
      </c>
      <c r="BL126" s="37" t="n">
        <f aca="false">BE126+BI126</f>
        <v>79</v>
      </c>
      <c r="BM126" s="37" t="n">
        <f aca="false">BG126+BK126</f>
        <v>114</v>
      </c>
      <c r="BN126" s="38" t="n">
        <f aca="false">BL126+BM126</f>
        <v>193</v>
      </c>
      <c r="BO126" s="39" t="n">
        <f aca="false">BN126/N126*100</f>
        <v>58.3081570996979</v>
      </c>
      <c r="BP126" s="10" t="n">
        <v>27</v>
      </c>
      <c r="BQ126" s="10" t="n">
        <v>0</v>
      </c>
      <c r="BR126" s="10" t="n">
        <v>0</v>
      </c>
      <c r="BS126" s="10" t="n">
        <v>5</v>
      </c>
      <c r="BT126" s="10" t="n">
        <v>0</v>
      </c>
      <c r="BU126" s="10" t="n">
        <v>0</v>
      </c>
    </row>
    <row r="127" customFormat="false" ht="32.25" hidden="false" customHeight="true" outlineLevel="0" collapsed="false">
      <c r="A127" s="27" t="n">
        <v>5</v>
      </c>
      <c r="B127" s="28" t="s">
        <v>47</v>
      </c>
      <c r="C127" s="10" t="n">
        <v>3</v>
      </c>
      <c r="D127" s="10" t="n">
        <v>0</v>
      </c>
      <c r="E127" s="10" t="n">
        <v>3</v>
      </c>
      <c r="F127" s="10" t="n">
        <v>0</v>
      </c>
      <c r="G127" s="10" t="n">
        <v>0</v>
      </c>
      <c r="H127" s="29" t="n">
        <v>302</v>
      </c>
      <c r="I127" s="29" t="n">
        <v>303</v>
      </c>
      <c r="J127" s="30" t="n">
        <v>155</v>
      </c>
      <c r="K127" s="30" t="n">
        <v>110</v>
      </c>
      <c r="L127" s="30" t="n">
        <v>75</v>
      </c>
      <c r="M127" s="30" t="n">
        <v>80</v>
      </c>
      <c r="N127" s="31" t="n">
        <f aca="false">SUM(J127:M127)</f>
        <v>420</v>
      </c>
      <c r="O127" s="32" t="n">
        <v>0</v>
      </c>
      <c r="P127" s="33" t="n">
        <f aca="false">P105+Q105</f>
        <v>50</v>
      </c>
      <c r="Q127" s="33" t="n">
        <v>9</v>
      </c>
      <c r="R127" s="33" t="n">
        <f aca="false">R105+S105</f>
        <v>66</v>
      </c>
      <c r="S127" s="33" t="n">
        <v>6</v>
      </c>
      <c r="T127" s="33" t="n">
        <f aca="false">T105+U105</f>
        <v>24</v>
      </c>
      <c r="U127" s="34" t="n">
        <v>1</v>
      </c>
      <c r="V127" s="33" t="n">
        <f aca="false">V105+W105</f>
        <v>22</v>
      </c>
      <c r="W127" s="34" t="n">
        <v>1</v>
      </c>
      <c r="X127" s="33" t="n">
        <f aca="false">X105+Y105</f>
        <v>11</v>
      </c>
      <c r="Y127" s="34" t="n">
        <v>1</v>
      </c>
      <c r="Z127" s="33" t="n">
        <f aca="false">Z105+AA105</f>
        <v>19</v>
      </c>
      <c r="AA127" s="34" t="n">
        <v>1</v>
      </c>
      <c r="AB127" s="33" t="n">
        <f aca="false">AB105+AC105</f>
        <v>21</v>
      </c>
      <c r="AC127" s="33" t="n">
        <v>1</v>
      </c>
      <c r="AD127" s="33" t="n">
        <f aca="false">AD105+AE105</f>
        <v>25</v>
      </c>
      <c r="AE127" s="33" t="n">
        <v>2</v>
      </c>
      <c r="AF127" s="33" t="n">
        <f aca="false">AF105+AG105</f>
        <v>10</v>
      </c>
      <c r="AG127" s="34"/>
      <c r="AH127" s="33" t="n">
        <f aca="false">AH105+AI105</f>
        <v>15</v>
      </c>
      <c r="AI127" s="34" t="n">
        <v>0</v>
      </c>
      <c r="AJ127" s="33" t="n">
        <f aca="false">AJ105+AK105</f>
        <v>7</v>
      </c>
      <c r="AK127" s="34" t="n">
        <v>0</v>
      </c>
      <c r="AL127" s="33" t="n">
        <f aca="false">AL105+AM105</f>
        <v>6</v>
      </c>
      <c r="AM127" s="34" t="n">
        <v>1</v>
      </c>
      <c r="AN127" s="35" t="n">
        <f aca="false">P127+AB127</f>
        <v>71</v>
      </c>
      <c r="AO127" s="35" t="n">
        <f aca="false">Q127+AC127</f>
        <v>10</v>
      </c>
      <c r="AP127" s="35" t="n">
        <f aca="false">R127+AD127</f>
        <v>91</v>
      </c>
      <c r="AQ127" s="35" t="n">
        <f aca="false">S127+AE127</f>
        <v>8</v>
      </c>
      <c r="AR127" s="35" t="n">
        <f aca="false">T127+AF127</f>
        <v>34</v>
      </c>
      <c r="AS127" s="35" t="n">
        <f aca="false">U127+AG127</f>
        <v>1</v>
      </c>
      <c r="AT127" s="35" t="n">
        <f aca="false">V127+AH127</f>
        <v>37</v>
      </c>
      <c r="AU127" s="35" t="n">
        <f aca="false">W127+AI127</f>
        <v>1</v>
      </c>
      <c r="AV127" s="35" t="n">
        <f aca="false">X127+AJ127</f>
        <v>18</v>
      </c>
      <c r="AW127" s="35" t="n">
        <f aca="false">Y127+AK127</f>
        <v>1</v>
      </c>
      <c r="AX127" s="35" t="n">
        <f aca="false">Z127+AL127</f>
        <v>25</v>
      </c>
      <c r="AY127" s="35" t="n">
        <f aca="false">AA127+AM127</f>
        <v>2</v>
      </c>
      <c r="AZ127" s="36" t="n">
        <f aca="false">AO127</f>
        <v>10</v>
      </c>
      <c r="BA127" s="36" t="n">
        <f aca="false">SUM(AN127:AO127)</f>
        <v>81</v>
      </c>
      <c r="BB127" s="36" t="n">
        <f aca="false">S127+AE127</f>
        <v>8</v>
      </c>
      <c r="BC127" s="36" t="n">
        <f aca="false">SUM(AP127:AQ127)</f>
        <v>99</v>
      </c>
      <c r="BD127" s="36" t="n">
        <f aca="false">U127+AG127</f>
        <v>1</v>
      </c>
      <c r="BE127" s="36" t="n">
        <f aca="false">SUM(AR127:AS127)</f>
        <v>35</v>
      </c>
      <c r="BF127" s="36" t="n">
        <f aca="false">W127+AI127</f>
        <v>1</v>
      </c>
      <c r="BG127" s="36" t="n">
        <f aca="false">SUM(AT127:AU127)</f>
        <v>38</v>
      </c>
      <c r="BH127" s="36" t="n">
        <f aca="false">Y127+AK127</f>
        <v>1</v>
      </c>
      <c r="BI127" s="36" t="n">
        <f aca="false">SUM(AV127:AW127)</f>
        <v>19</v>
      </c>
      <c r="BJ127" s="36" t="n">
        <f aca="false">AA127+AM127</f>
        <v>2</v>
      </c>
      <c r="BK127" s="36" t="n">
        <f aca="false">SUM(AX127:AY127)</f>
        <v>27</v>
      </c>
      <c r="BL127" s="37" t="n">
        <f aca="false">BE127+BI127</f>
        <v>54</v>
      </c>
      <c r="BM127" s="37" t="n">
        <f aca="false">BG127+BK127</f>
        <v>65</v>
      </c>
      <c r="BN127" s="38" t="n">
        <f aca="false">BL127+BM127</f>
        <v>119</v>
      </c>
      <c r="BO127" s="39" t="n">
        <f aca="false">BN127/N127*100</f>
        <v>28.3333333333333</v>
      </c>
      <c r="BP127" s="10" t="n">
        <v>10</v>
      </c>
      <c r="BQ127" s="10" t="n">
        <v>1</v>
      </c>
      <c r="BR127" s="10" t="n">
        <v>0</v>
      </c>
      <c r="BS127" s="10" t="n">
        <v>6</v>
      </c>
      <c r="BT127" s="10" t="n">
        <v>0</v>
      </c>
      <c r="BU127" s="10" t="n">
        <v>0</v>
      </c>
    </row>
    <row r="128" customFormat="false" ht="36.75" hidden="false" customHeight="true" outlineLevel="0" collapsed="false">
      <c r="A128" s="15" t="s">
        <v>48</v>
      </c>
      <c r="B128" s="15"/>
      <c r="C128" s="21" t="n">
        <f aca="false">SUM(C122:C127)</f>
        <v>15</v>
      </c>
      <c r="D128" s="21" t="n">
        <f aca="false">SUM(D122:D127)</f>
        <v>0</v>
      </c>
      <c r="E128" s="21" t="n">
        <f aca="false">SUM(E122:E127)</f>
        <v>15</v>
      </c>
      <c r="F128" s="21" t="n">
        <f aca="false">SUM(F122:F127)</f>
        <v>0</v>
      </c>
      <c r="G128" s="21" t="n">
        <f aca="false">SUM(G122:G127)</f>
        <v>0</v>
      </c>
      <c r="H128" s="31" t="n">
        <f aca="false">SUM(H122:H127)</f>
        <v>1548</v>
      </c>
      <c r="I128" s="31" t="n">
        <f aca="false">SUM(I122:I127)</f>
        <v>1604</v>
      </c>
      <c r="J128" s="31" t="n">
        <f aca="false">SUM(J122:J127)</f>
        <v>765</v>
      </c>
      <c r="K128" s="31" t="n">
        <f aca="false">SUM(K122:K127)</f>
        <v>814</v>
      </c>
      <c r="L128" s="31" t="n">
        <f aca="false">SUM(L122:L127)</f>
        <v>440</v>
      </c>
      <c r="M128" s="31" t="n">
        <f aca="false">SUM(M122:M127)</f>
        <v>480</v>
      </c>
      <c r="N128" s="31" t="n">
        <f aca="false">SUM(J128:M128)</f>
        <v>2499</v>
      </c>
      <c r="O128" s="31" t="n">
        <v>1506</v>
      </c>
      <c r="P128" s="21" t="n">
        <f aca="false">SUM(P122:P127)</f>
        <v>241</v>
      </c>
      <c r="Q128" s="21" t="n">
        <f aca="false">SUM(Q122:Q127)</f>
        <v>56</v>
      </c>
      <c r="R128" s="21" t="n">
        <f aca="false">SUM(R122:R127)</f>
        <v>523</v>
      </c>
      <c r="S128" s="21" t="n">
        <f aca="false">SUM(S122:S127)</f>
        <v>38</v>
      </c>
      <c r="T128" s="21" t="n">
        <f aca="false">SUM(T122:T127)</f>
        <v>225</v>
      </c>
      <c r="U128" s="44" t="n">
        <f aca="false">SUM(U122:U127)</f>
        <v>25</v>
      </c>
      <c r="V128" s="44" t="n">
        <f aca="false">SUM(V122:V127)</f>
        <v>294</v>
      </c>
      <c r="W128" s="44" t="n">
        <f aca="false">SUM(W122:W127)</f>
        <v>31</v>
      </c>
      <c r="X128" s="44" t="n">
        <f aca="false">SUM(X122:X127)</f>
        <v>146</v>
      </c>
      <c r="Y128" s="44" t="n">
        <f aca="false">SUM(Y122:Y127)</f>
        <v>27</v>
      </c>
      <c r="Z128" s="44" t="n">
        <f aca="false">SUM(Z122:Z127)</f>
        <v>167</v>
      </c>
      <c r="AA128" s="44" t="n">
        <f aca="false">SUM(AA122:AA127)</f>
        <v>32</v>
      </c>
      <c r="AB128" s="21" t="n">
        <f aca="false">SUM(AB122:AB127)</f>
        <v>107</v>
      </c>
      <c r="AC128" s="21" t="n">
        <f aca="false">SUM(AC122:AC127)</f>
        <v>26</v>
      </c>
      <c r="AD128" s="21" t="n">
        <f aca="false">SUM(AD122:AD127)</f>
        <v>172</v>
      </c>
      <c r="AE128" s="21" t="n">
        <f aca="false">SUM(AE122:AE127)</f>
        <v>34</v>
      </c>
      <c r="AF128" s="44" t="n">
        <f aca="false">SUM(AF122:AF127)</f>
        <v>104</v>
      </c>
      <c r="AG128" s="44" t="n">
        <f aca="false">SUM(AG122:AG127)</f>
        <v>24</v>
      </c>
      <c r="AH128" s="44" t="n">
        <f aca="false">SUM(AH122:AH127)</f>
        <v>162</v>
      </c>
      <c r="AI128" s="44" t="n">
        <f aca="false">SUM(AI122:AI127)</f>
        <v>30</v>
      </c>
      <c r="AJ128" s="44" t="n">
        <f aca="false">SUM(AJ122:AJ127)</f>
        <v>62</v>
      </c>
      <c r="AK128" s="44" t="n">
        <f aca="false">SUM(AK122:AK127)</f>
        <v>16</v>
      </c>
      <c r="AL128" s="44" t="n">
        <f aca="false">SUM(AL122:AL127)</f>
        <v>85</v>
      </c>
      <c r="AM128" s="44" t="n">
        <f aca="false">SUM(AM122:AM127)</f>
        <v>22</v>
      </c>
      <c r="AN128" s="21" t="n">
        <f aca="false">SUM(AN122:AN127)</f>
        <v>348</v>
      </c>
      <c r="AO128" s="21" t="n">
        <f aca="false">SUM(AO122:AO127)</f>
        <v>82</v>
      </c>
      <c r="AP128" s="21" t="n">
        <f aca="false">SUM(AP122:AP127)</f>
        <v>695</v>
      </c>
      <c r="AQ128" s="21" t="n">
        <f aca="false">SUM(AQ122:AQ127)</f>
        <v>72</v>
      </c>
      <c r="AR128" s="44" t="n">
        <f aca="false">SUM(AR122:AR127)</f>
        <v>329</v>
      </c>
      <c r="AS128" s="44" t="n">
        <f aca="false">SUM(AS122:AS127)</f>
        <v>49</v>
      </c>
      <c r="AT128" s="44" t="n">
        <f aca="false">SUM(AT122:AT127)</f>
        <v>456</v>
      </c>
      <c r="AU128" s="44" t="n">
        <f aca="false">SUM(AU122:AU127)</f>
        <v>61</v>
      </c>
      <c r="AV128" s="44" t="n">
        <f aca="false">SUM(AV122:AV127)</f>
        <v>208</v>
      </c>
      <c r="AW128" s="44" t="n">
        <f aca="false">SUM(AW122:AW127)</f>
        <v>43</v>
      </c>
      <c r="AX128" s="44" t="n">
        <f aca="false">SUM(AX122:AX127)</f>
        <v>252</v>
      </c>
      <c r="AY128" s="44" t="n">
        <f aca="false">SUM(AY122:AY127)</f>
        <v>54</v>
      </c>
      <c r="AZ128" s="21" t="n">
        <f aca="false">SUM(AZ122:AZ127)</f>
        <v>82</v>
      </c>
      <c r="BA128" s="21" t="n">
        <f aca="false">SUM(BA122:BA127)</f>
        <v>430</v>
      </c>
      <c r="BB128" s="21" t="n">
        <f aca="false">SUM(BB122:BB127)</f>
        <v>72</v>
      </c>
      <c r="BC128" s="21" t="n">
        <f aca="false">SUM(BC122:BC127)</f>
        <v>767</v>
      </c>
      <c r="BD128" s="21" t="n">
        <f aca="false">SUM(BD122:BD127)</f>
        <v>49</v>
      </c>
      <c r="BE128" s="21" t="n">
        <f aca="false">SUM(BE122:BE127)</f>
        <v>378</v>
      </c>
      <c r="BF128" s="21" t="n">
        <f aca="false">SUM(BF122:BF127)</f>
        <v>61</v>
      </c>
      <c r="BG128" s="21" t="n">
        <f aca="false">SUM(BG122:BG127)</f>
        <v>517</v>
      </c>
      <c r="BH128" s="21" t="n">
        <f aca="false">SUM(BH122:BH127)</f>
        <v>43</v>
      </c>
      <c r="BI128" s="21" t="n">
        <f aca="false">SUM(BI122:BI127)</f>
        <v>251</v>
      </c>
      <c r="BJ128" s="21" t="n">
        <f aca="false">SUM(BJ122:BJ127)</f>
        <v>54</v>
      </c>
      <c r="BK128" s="21" t="n">
        <f aca="false">SUM(BK122:BK127)</f>
        <v>306</v>
      </c>
      <c r="BL128" s="21" t="n">
        <f aca="false">SUM(BL122:BL127)</f>
        <v>629</v>
      </c>
      <c r="BM128" s="21" t="n">
        <f aca="false">SUM(BM122:BM127)</f>
        <v>823</v>
      </c>
      <c r="BN128" s="45" t="n">
        <f aca="false">SUM(BN122:BN127)</f>
        <v>1452</v>
      </c>
      <c r="BO128" s="45" t="n">
        <f aca="false">BN128/N128*100</f>
        <v>58.1032412965186</v>
      </c>
      <c r="BP128" s="21" t="n">
        <f aca="false">SUM(BP122:BP127)</f>
        <v>128</v>
      </c>
      <c r="BQ128" s="21" t="n">
        <f aca="false">SUM(BQ122:BQ127)</f>
        <v>1</v>
      </c>
      <c r="BR128" s="21" t="n">
        <f aca="false">SUM(BR122:BR127)</f>
        <v>0</v>
      </c>
      <c r="BS128" s="21" t="n">
        <f aca="false">SUM(BS122:BS127)</f>
        <v>70</v>
      </c>
      <c r="BT128" s="21" t="n">
        <f aca="false">SUM(BT122:BT127)</f>
        <v>0</v>
      </c>
      <c r="BU128" s="21" t="n">
        <f aca="false">SUM(BU122:BU127)</f>
        <v>0</v>
      </c>
    </row>
    <row r="129" customFormat="false" ht="15.75" hidden="false" customHeight="false" outlineLevel="0" collapsed="false"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</row>
    <row r="130" customFormat="false" ht="15.75" hidden="false" customHeight="false" outlineLevel="0" collapsed="false"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</row>
    <row r="131" customFormat="false" ht="15.75" hidden="false" customHeight="false" outlineLevel="0" collapsed="false"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</row>
    <row r="132" customFormat="false" ht="15.75" hidden="false" customHeight="false" outlineLevel="0" collapsed="false"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</row>
    <row r="133" customFormat="false" ht="15.75" hidden="false" customHeight="false" outlineLevel="0" collapsed="false">
      <c r="A133" s="2" t="s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</row>
    <row r="135" customFormat="false" ht="15.75" hidden="false" customHeight="false" outlineLevel="0" collapsed="false">
      <c r="A135" s="3" t="s">
        <v>1</v>
      </c>
      <c r="B135" s="4"/>
      <c r="C135" s="4" t="s">
        <v>2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</row>
    <row r="136" customFormat="false" ht="15.75" hidden="false" customHeight="false" outlineLevel="0" collapsed="false">
      <c r="A136" s="3" t="s">
        <v>3</v>
      </c>
      <c r="B136" s="4"/>
      <c r="C136" s="4" t="s">
        <v>4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</row>
    <row r="137" customFormat="false" ht="15.75" hidden="false" customHeight="false" outlineLevel="0" collapsed="false">
      <c r="A137" s="3" t="s">
        <v>5</v>
      </c>
      <c r="B137" s="4"/>
      <c r="C137" s="4" t="s">
        <v>57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</row>
    <row r="138" customFormat="false" ht="15.75" hidden="false" customHeight="false" outlineLevel="0" collapsed="false">
      <c r="A138" s="4"/>
      <c r="B138" s="4"/>
      <c r="C138" s="4"/>
      <c r="D138" s="4"/>
      <c r="E138" s="4"/>
      <c r="F138" s="4"/>
      <c r="G138" s="4"/>
      <c r="H138" s="5"/>
      <c r="I138" s="5"/>
      <c r="J138" s="5"/>
      <c r="K138" s="5"/>
      <c r="L138" s="5"/>
      <c r="M138" s="5"/>
      <c r="N138" s="5"/>
      <c r="O138" s="5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</row>
    <row r="139" customFormat="false" ht="33.75" hidden="false" customHeight="true" outlineLevel="0" collapsed="false">
      <c r="A139" s="7" t="s">
        <v>7</v>
      </c>
      <c r="B139" s="8" t="s">
        <v>8</v>
      </c>
      <c r="C139" s="8" t="s">
        <v>9</v>
      </c>
      <c r="D139" s="9" t="s">
        <v>10</v>
      </c>
      <c r="E139" s="9" t="s">
        <v>11</v>
      </c>
      <c r="F139" s="9" t="s">
        <v>12</v>
      </c>
      <c r="G139" s="9" t="s">
        <v>13</v>
      </c>
      <c r="H139" s="10" t="s">
        <v>14</v>
      </c>
      <c r="I139" s="10"/>
      <c r="J139" s="10"/>
      <c r="K139" s="10"/>
      <c r="L139" s="10"/>
      <c r="M139" s="11"/>
      <c r="N139" s="11"/>
      <c r="O139" s="8" t="s">
        <v>15</v>
      </c>
      <c r="P139" s="11" t="s">
        <v>16</v>
      </c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0" t="s">
        <v>17</v>
      </c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7" t="s">
        <v>18</v>
      </c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 t="s">
        <v>19</v>
      </c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8" t="s">
        <v>20</v>
      </c>
      <c r="BM139" s="8"/>
      <c r="BN139" s="8"/>
      <c r="BO139" s="8"/>
      <c r="BP139" s="7" t="s">
        <v>21</v>
      </c>
      <c r="BQ139" s="7"/>
      <c r="BR139" s="7"/>
      <c r="BS139" s="7" t="s">
        <v>21</v>
      </c>
      <c r="BT139" s="7"/>
      <c r="BU139" s="7"/>
    </row>
    <row r="140" customFormat="false" ht="44.25" hidden="false" customHeight="true" outlineLevel="0" collapsed="false">
      <c r="A140" s="7"/>
      <c r="B140" s="8"/>
      <c r="C140" s="8"/>
      <c r="D140" s="9"/>
      <c r="E140" s="9"/>
      <c r="F140" s="9"/>
      <c r="G140" s="9"/>
      <c r="H140" s="7" t="s">
        <v>22</v>
      </c>
      <c r="I140" s="7"/>
      <c r="J140" s="7" t="s">
        <v>23</v>
      </c>
      <c r="K140" s="7"/>
      <c r="L140" s="7" t="s">
        <v>24</v>
      </c>
      <c r="M140" s="7"/>
      <c r="N140" s="12" t="s">
        <v>25</v>
      </c>
      <c r="O140" s="8"/>
      <c r="P140" s="11" t="s">
        <v>22</v>
      </c>
      <c r="Q140" s="11"/>
      <c r="R140" s="11"/>
      <c r="S140" s="11"/>
      <c r="T140" s="10" t="s">
        <v>23</v>
      </c>
      <c r="U140" s="10"/>
      <c r="V140" s="10"/>
      <c r="W140" s="10"/>
      <c r="X140" s="10" t="s">
        <v>24</v>
      </c>
      <c r="Y140" s="10"/>
      <c r="Z140" s="10"/>
      <c r="AA140" s="10"/>
      <c r="AB140" s="10" t="s">
        <v>22</v>
      </c>
      <c r="AC140" s="10"/>
      <c r="AD140" s="10"/>
      <c r="AE140" s="10"/>
      <c r="AF140" s="10" t="s">
        <v>23</v>
      </c>
      <c r="AG140" s="10"/>
      <c r="AH140" s="10"/>
      <c r="AI140" s="10"/>
      <c r="AJ140" s="10" t="s">
        <v>24</v>
      </c>
      <c r="AK140" s="10"/>
      <c r="AL140" s="10"/>
      <c r="AM140" s="10"/>
      <c r="AN140" s="7" t="s">
        <v>22</v>
      </c>
      <c r="AO140" s="7"/>
      <c r="AP140" s="7"/>
      <c r="AQ140" s="7"/>
      <c r="AR140" s="7" t="s">
        <v>23</v>
      </c>
      <c r="AS140" s="7"/>
      <c r="AT140" s="7"/>
      <c r="AU140" s="7"/>
      <c r="AV140" s="7" t="s">
        <v>24</v>
      </c>
      <c r="AW140" s="7"/>
      <c r="AX140" s="7"/>
      <c r="AY140" s="7"/>
      <c r="AZ140" s="7" t="s">
        <v>22</v>
      </c>
      <c r="BA140" s="7"/>
      <c r="BB140" s="7"/>
      <c r="BC140" s="7"/>
      <c r="BD140" s="7" t="s">
        <v>23</v>
      </c>
      <c r="BE140" s="7"/>
      <c r="BF140" s="7"/>
      <c r="BG140" s="7"/>
      <c r="BH140" s="7" t="s">
        <v>24</v>
      </c>
      <c r="BI140" s="7"/>
      <c r="BJ140" s="7"/>
      <c r="BK140" s="7"/>
      <c r="BL140" s="7" t="s">
        <v>26</v>
      </c>
      <c r="BM140" s="7"/>
      <c r="BN140" s="7"/>
      <c r="BO140" s="7"/>
      <c r="BP140" s="7" t="s">
        <v>27</v>
      </c>
      <c r="BQ140" s="7"/>
      <c r="BR140" s="7"/>
      <c r="BS140" s="7" t="s">
        <v>28</v>
      </c>
      <c r="BT140" s="7"/>
      <c r="BU140" s="7"/>
    </row>
    <row r="141" customFormat="false" ht="27" hidden="false" customHeight="true" outlineLevel="0" collapsed="false">
      <c r="A141" s="7"/>
      <c r="B141" s="8"/>
      <c r="C141" s="8"/>
      <c r="D141" s="9"/>
      <c r="E141" s="9"/>
      <c r="F141" s="9"/>
      <c r="G141" s="9"/>
      <c r="H141" s="7" t="s">
        <v>29</v>
      </c>
      <c r="I141" s="7" t="s">
        <v>30</v>
      </c>
      <c r="J141" s="7" t="s">
        <v>29</v>
      </c>
      <c r="K141" s="7" t="s">
        <v>30</v>
      </c>
      <c r="L141" s="7" t="s">
        <v>29</v>
      </c>
      <c r="M141" s="7" t="s">
        <v>30</v>
      </c>
      <c r="N141" s="12"/>
      <c r="O141" s="8"/>
      <c r="P141" s="11" t="s">
        <v>29</v>
      </c>
      <c r="Q141" s="11"/>
      <c r="R141" s="10" t="s">
        <v>30</v>
      </c>
      <c r="S141" s="10"/>
      <c r="T141" s="10" t="s">
        <v>29</v>
      </c>
      <c r="U141" s="10"/>
      <c r="V141" s="10" t="s">
        <v>30</v>
      </c>
      <c r="W141" s="10"/>
      <c r="X141" s="10" t="s">
        <v>29</v>
      </c>
      <c r="Y141" s="10"/>
      <c r="Z141" s="10" t="s">
        <v>30</v>
      </c>
      <c r="AA141" s="10"/>
      <c r="AB141" s="10" t="s">
        <v>29</v>
      </c>
      <c r="AC141" s="10"/>
      <c r="AD141" s="10" t="s">
        <v>30</v>
      </c>
      <c r="AE141" s="10"/>
      <c r="AF141" s="10" t="s">
        <v>29</v>
      </c>
      <c r="AG141" s="10"/>
      <c r="AH141" s="10" t="s">
        <v>30</v>
      </c>
      <c r="AI141" s="10"/>
      <c r="AJ141" s="10" t="s">
        <v>29</v>
      </c>
      <c r="AK141" s="10"/>
      <c r="AL141" s="10" t="s">
        <v>30</v>
      </c>
      <c r="AM141" s="10"/>
      <c r="AN141" s="13" t="s">
        <v>29</v>
      </c>
      <c r="AO141" s="13"/>
      <c r="AP141" s="13" t="s">
        <v>30</v>
      </c>
      <c r="AQ141" s="13"/>
      <c r="AR141" s="13" t="s">
        <v>29</v>
      </c>
      <c r="AS141" s="13"/>
      <c r="AT141" s="13" t="s">
        <v>30</v>
      </c>
      <c r="AU141" s="13"/>
      <c r="AV141" s="13" t="s">
        <v>29</v>
      </c>
      <c r="AW141" s="13"/>
      <c r="AX141" s="13" t="s">
        <v>30</v>
      </c>
      <c r="AY141" s="13"/>
      <c r="AZ141" s="14" t="s">
        <v>29</v>
      </c>
      <c r="BA141" s="14"/>
      <c r="BB141" s="14" t="s">
        <v>30</v>
      </c>
      <c r="BC141" s="14"/>
      <c r="BD141" s="14" t="s">
        <v>29</v>
      </c>
      <c r="BE141" s="14"/>
      <c r="BF141" s="14" t="s">
        <v>30</v>
      </c>
      <c r="BG141" s="14"/>
      <c r="BH141" s="14" t="s">
        <v>29</v>
      </c>
      <c r="BI141" s="14"/>
      <c r="BJ141" s="14" t="s">
        <v>30</v>
      </c>
      <c r="BK141" s="14"/>
      <c r="BL141" s="15" t="s">
        <v>29</v>
      </c>
      <c r="BM141" s="15" t="s">
        <v>30</v>
      </c>
      <c r="BN141" s="15" t="s">
        <v>31</v>
      </c>
      <c r="BO141" s="15" t="s">
        <v>32</v>
      </c>
      <c r="BP141" s="7" t="s">
        <v>33</v>
      </c>
      <c r="BQ141" s="7" t="s">
        <v>34</v>
      </c>
      <c r="BR141" s="7" t="s">
        <v>35</v>
      </c>
      <c r="BS141" s="7" t="s">
        <v>33</v>
      </c>
      <c r="BT141" s="7" t="s">
        <v>34</v>
      </c>
      <c r="BU141" s="7" t="s">
        <v>35</v>
      </c>
    </row>
    <row r="142" customFormat="false" ht="85.5" hidden="false" customHeight="true" outlineLevel="0" collapsed="false">
      <c r="A142" s="7"/>
      <c r="B142" s="8"/>
      <c r="C142" s="8"/>
      <c r="D142" s="9"/>
      <c r="E142" s="9"/>
      <c r="F142" s="9"/>
      <c r="G142" s="9"/>
      <c r="H142" s="7"/>
      <c r="I142" s="7"/>
      <c r="J142" s="7"/>
      <c r="K142" s="7"/>
      <c r="L142" s="7"/>
      <c r="M142" s="7"/>
      <c r="N142" s="12"/>
      <c r="O142" s="8"/>
      <c r="P142" s="16" t="s">
        <v>36</v>
      </c>
      <c r="Q142" s="17" t="s">
        <v>37</v>
      </c>
      <c r="R142" s="17" t="s">
        <v>36</v>
      </c>
      <c r="S142" s="17" t="s">
        <v>37</v>
      </c>
      <c r="T142" s="17" t="s">
        <v>36</v>
      </c>
      <c r="U142" s="17" t="s">
        <v>37</v>
      </c>
      <c r="V142" s="17" t="s">
        <v>36</v>
      </c>
      <c r="W142" s="17" t="s">
        <v>37</v>
      </c>
      <c r="X142" s="17" t="s">
        <v>36</v>
      </c>
      <c r="Y142" s="17" t="s">
        <v>37</v>
      </c>
      <c r="Z142" s="17" t="s">
        <v>36</v>
      </c>
      <c r="AA142" s="17" t="s">
        <v>37</v>
      </c>
      <c r="AB142" s="17" t="s">
        <v>36</v>
      </c>
      <c r="AC142" s="17" t="s">
        <v>37</v>
      </c>
      <c r="AD142" s="17" t="s">
        <v>36</v>
      </c>
      <c r="AE142" s="17" t="s">
        <v>37</v>
      </c>
      <c r="AF142" s="17" t="s">
        <v>36</v>
      </c>
      <c r="AG142" s="17" t="s">
        <v>37</v>
      </c>
      <c r="AH142" s="17" t="s">
        <v>36</v>
      </c>
      <c r="AI142" s="17" t="s">
        <v>37</v>
      </c>
      <c r="AJ142" s="17" t="s">
        <v>36</v>
      </c>
      <c r="AK142" s="17" t="s">
        <v>37</v>
      </c>
      <c r="AL142" s="17" t="s">
        <v>36</v>
      </c>
      <c r="AM142" s="17" t="s">
        <v>37</v>
      </c>
      <c r="AN142" s="18" t="s">
        <v>38</v>
      </c>
      <c r="AO142" s="18" t="s">
        <v>39</v>
      </c>
      <c r="AP142" s="18" t="s">
        <v>38</v>
      </c>
      <c r="AQ142" s="18" t="s">
        <v>39</v>
      </c>
      <c r="AR142" s="18" t="s">
        <v>38</v>
      </c>
      <c r="AS142" s="18" t="s">
        <v>39</v>
      </c>
      <c r="AT142" s="18" t="s">
        <v>38</v>
      </c>
      <c r="AU142" s="18" t="s">
        <v>39</v>
      </c>
      <c r="AV142" s="18" t="s">
        <v>38</v>
      </c>
      <c r="AW142" s="18" t="s">
        <v>39</v>
      </c>
      <c r="AX142" s="18" t="s">
        <v>38</v>
      </c>
      <c r="AY142" s="18" t="s">
        <v>39</v>
      </c>
      <c r="AZ142" s="19" t="s">
        <v>40</v>
      </c>
      <c r="BA142" s="20" t="s">
        <v>41</v>
      </c>
      <c r="BB142" s="19" t="s">
        <v>40</v>
      </c>
      <c r="BC142" s="20" t="s">
        <v>41</v>
      </c>
      <c r="BD142" s="19" t="s">
        <v>40</v>
      </c>
      <c r="BE142" s="20" t="s">
        <v>41</v>
      </c>
      <c r="BF142" s="19" t="s">
        <v>40</v>
      </c>
      <c r="BG142" s="20" t="s">
        <v>41</v>
      </c>
      <c r="BH142" s="19" t="s">
        <v>40</v>
      </c>
      <c r="BI142" s="20" t="s">
        <v>41</v>
      </c>
      <c r="BJ142" s="19" t="s">
        <v>40</v>
      </c>
      <c r="BK142" s="20" t="s">
        <v>41</v>
      </c>
      <c r="BL142" s="21" t="s">
        <v>41</v>
      </c>
      <c r="BM142" s="21" t="s">
        <v>41</v>
      </c>
      <c r="BN142" s="15"/>
      <c r="BO142" s="15"/>
      <c r="BP142" s="7"/>
      <c r="BQ142" s="7"/>
      <c r="BR142" s="7"/>
      <c r="BS142" s="7"/>
      <c r="BT142" s="7"/>
      <c r="BU142" s="7"/>
    </row>
    <row r="143" customFormat="false" ht="13.5" hidden="false" customHeight="true" outlineLevel="0" collapsed="false">
      <c r="A143" s="22" t="n">
        <v>1</v>
      </c>
      <c r="B143" s="23" t="n">
        <v>2</v>
      </c>
      <c r="C143" s="23" t="n">
        <f aca="false">+B143+1</f>
        <v>3</v>
      </c>
      <c r="D143" s="23" t="n">
        <v>4</v>
      </c>
      <c r="E143" s="23" t="n">
        <v>5</v>
      </c>
      <c r="F143" s="23" t="n">
        <v>6</v>
      </c>
      <c r="G143" s="23" t="n">
        <v>7</v>
      </c>
      <c r="H143" s="24" t="n">
        <v>8</v>
      </c>
      <c r="I143" s="24"/>
      <c r="J143" s="24"/>
      <c r="K143" s="24"/>
      <c r="L143" s="24"/>
      <c r="M143" s="24"/>
      <c r="N143" s="25" t="n">
        <v>9</v>
      </c>
      <c r="O143" s="24" t="n">
        <v>10</v>
      </c>
      <c r="P143" s="24" t="n">
        <v>11</v>
      </c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3" t="n">
        <v>12</v>
      </c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13" t="n">
        <v>13</v>
      </c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4" t="n">
        <v>14</v>
      </c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5" t="n">
        <v>15</v>
      </c>
      <c r="BM143" s="15"/>
      <c r="BN143" s="15"/>
      <c r="BO143" s="15"/>
      <c r="BP143" s="24" t="n">
        <v>16</v>
      </c>
      <c r="BQ143" s="24"/>
      <c r="BR143" s="24"/>
      <c r="BS143" s="24" t="n">
        <v>17</v>
      </c>
      <c r="BT143" s="24"/>
      <c r="BU143" s="24"/>
    </row>
    <row r="144" customFormat="false" ht="32.25" hidden="false" customHeight="true" outlineLevel="0" collapsed="false">
      <c r="A144" s="27" t="n">
        <v>1</v>
      </c>
      <c r="B144" s="28" t="s">
        <v>42</v>
      </c>
      <c r="C144" s="10" t="n">
        <v>3</v>
      </c>
      <c r="D144" s="10" t="n">
        <v>0</v>
      </c>
      <c r="E144" s="10" t="n">
        <v>3</v>
      </c>
      <c r="F144" s="10" t="n">
        <v>0</v>
      </c>
      <c r="G144" s="10" t="n">
        <v>0</v>
      </c>
      <c r="H144" s="29" t="n">
        <v>200</v>
      </c>
      <c r="I144" s="29" t="n">
        <v>243</v>
      </c>
      <c r="J144" s="30" t="n">
        <v>180</v>
      </c>
      <c r="K144" s="30" t="n">
        <v>209</v>
      </c>
      <c r="L144" s="30" t="n">
        <v>110</v>
      </c>
      <c r="M144" s="30" t="n">
        <v>117</v>
      </c>
      <c r="N144" s="31" t="n">
        <f aca="false">SUM(J144:M144)</f>
        <v>616</v>
      </c>
      <c r="O144" s="32" t="n">
        <v>0</v>
      </c>
      <c r="P144" s="33" t="n">
        <f aca="false">P122+Q122</f>
        <v>70</v>
      </c>
      <c r="Q144" s="33"/>
      <c r="R144" s="33" t="n">
        <f aca="false">R122+S122</f>
        <v>159</v>
      </c>
      <c r="S144" s="33"/>
      <c r="T144" s="33" t="n">
        <f aca="false">T122+U122</f>
        <v>54</v>
      </c>
      <c r="U144" s="34" t="n">
        <v>10</v>
      </c>
      <c r="V144" s="33" t="n">
        <f aca="false">V122+W122</f>
        <v>87</v>
      </c>
      <c r="W144" s="34" t="n">
        <v>11</v>
      </c>
      <c r="X144" s="33" t="n">
        <f aca="false">X122+Y122</f>
        <v>82</v>
      </c>
      <c r="Y144" s="34" t="n">
        <v>15</v>
      </c>
      <c r="Z144" s="33" t="n">
        <f aca="false">Z122+AA122</f>
        <v>64</v>
      </c>
      <c r="AA144" s="34" t="n">
        <v>11</v>
      </c>
      <c r="AB144" s="33" t="n">
        <f aca="false">AB122+AC122</f>
        <v>32</v>
      </c>
      <c r="AC144" s="33" t="n">
        <v>7</v>
      </c>
      <c r="AD144" s="33" t="n">
        <f aca="false">AD122+AE122</f>
        <v>54</v>
      </c>
      <c r="AE144" s="33" t="n">
        <v>13</v>
      </c>
      <c r="AF144" s="33" t="n">
        <f aca="false">AF122+AG122</f>
        <v>52</v>
      </c>
      <c r="AG144" s="34" t="n">
        <v>12</v>
      </c>
      <c r="AH144" s="33" t="n">
        <f aca="false">AH122+AI122</f>
        <v>59</v>
      </c>
      <c r="AI144" s="34" t="n">
        <v>12</v>
      </c>
      <c r="AJ144" s="33" t="n">
        <f aca="false">AJ122+AK122</f>
        <v>17</v>
      </c>
      <c r="AK144" s="34" t="n">
        <v>7</v>
      </c>
      <c r="AL144" s="33" t="n">
        <f aca="false">AL122+AM122</f>
        <v>24</v>
      </c>
      <c r="AM144" s="34" t="n">
        <v>8</v>
      </c>
      <c r="AN144" s="35" t="n">
        <f aca="false">P144+AB144</f>
        <v>102</v>
      </c>
      <c r="AO144" s="35" t="n">
        <f aca="false">Q144+AC144</f>
        <v>7</v>
      </c>
      <c r="AP144" s="35" t="n">
        <f aca="false">R144+AD144</f>
        <v>213</v>
      </c>
      <c r="AQ144" s="35" t="n">
        <f aca="false">S144+AE144</f>
        <v>13</v>
      </c>
      <c r="AR144" s="35" t="n">
        <f aca="false">T144+AF144</f>
        <v>106</v>
      </c>
      <c r="AS144" s="35" t="n">
        <f aca="false">U144+AG144</f>
        <v>22</v>
      </c>
      <c r="AT144" s="35" t="n">
        <f aca="false">V144+AH144</f>
        <v>146</v>
      </c>
      <c r="AU144" s="35" t="n">
        <f aca="false">W144+AI144</f>
        <v>23</v>
      </c>
      <c r="AV144" s="35" t="n">
        <f aca="false">X144+AJ144</f>
        <v>99</v>
      </c>
      <c r="AW144" s="35" t="n">
        <f aca="false">Y144+AK144</f>
        <v>22</v>
      </c>
      <c r="AX144" s="35" t="n">
        <f aca="false">Z144+AL144</f>
        <v>88</v>
      </c>
      <c r="AY144" s="35" t="n">
        <f aca="false">AA144+AM144</f>
        <v>19</v>
      </c>
      <c r="AZ144" s="36" t="n">
        <f aca="false">AO144</f>
        <v>7</v>
      </c>
      <c r="BA144" s="36" t="n">
        <f aca="false">SUM(AN144:AO144)</f>
        <v>109</v>
      </c>
      <c r="BB144" s="36" t="n">
        <f aca="false">S144+AE144</f>
        <v>13</v>
      </c>
      <c r="BC144" s="36" t="n">
        <f aca="false">SUM(AP144:AQ144)</f>
        <v>226</v>
      </c>
      <c r="BD144" s="36" t="n">
        <f aca="false">U144+AG144</f>
        <v>22</v>
      </c>
      <c r="BE144" s="36" t="n">
        <f aca="false">SUM(AR144:AS144)</f>
        <v>128</v>
      </c>
      <c r="BF144" s="36" t="n">
        <f aca="false">W144+AI144</f>
        <v>23</v>
      </c>
      <c r="BG144" s="36" t="n">
        <f aca="false">SUM(AT144:AU144)</f>
        <v>169</v>
      </c>
      <c r="BH144" s="36" t="n">
        <f aca="false">Y144+AK144</f>
        <v>22</v>
      </c>
      <c r="BI144" s="36" t="n">
        <f aca="false">SUM(AV144:AW144)</f>
        <v>121</v>
      </c>
      <c r="BJ144" s="36" t="n">
        <f aca="false">AA144+AM144</f>
        <v>19</v>
      </c>
      <c r="BK144" s="36" t="n">
        <f aca="false">SUM(AX144:AY144)</f>
        <v>107</v>
      </c>
      <c r="BL144" s="37" t="n">
        <f aca="false">BE144+BI144</f>
        <v>249</v>
      </c>
      <c r="BM144" s="37" t="n">
        <f aca="false">BG144+BK144</f>
        <v>276</v>
      </c>
      <c r="BN144" s="38" t="n">
        <f aca="false">BL144+BM144</f>
        <v>525</v>
      </c>
      <c r="BO144" s="39" t="n">
        <f aca="false">BN144/N144*100</f>
        <v>85.2272727272727</v>
      </c>
      <c r="BP144" s="10" t="n">
        <v>32</v>
      </c>
      <c r="BQ144" s="10" t="n">
        <v>0</v>
      </c>
      <c r="BR144" s="10" t="n">
        <v>0</v>
      </c>
      <c r="BS144" s="10" t="n">
        <v>21</v>
      </c>
      <c r="BT144" s="10" t="n">
        <v>0</v>
      </c>
      <c r="BU144" s="10" t="n">
        <v>0</v>
      </c>
    </row>
    <row r="145" customFormat="false" ht="32.25" hidden="false" customHeight="true" outlineLevel="0" collapsed="false">
      <c r="A145" s="27" t="n">
        <v>2</v>
      </c>
      <c r="B145" s="28" t="s">
        <v>43</v>
      </c>
      <c r="C145" s="10" t="n">
        <v>3</v>
      </c>
      <c r="D145" s="10" t="n">
        <v>0</v>
      </c>
      <c r="E145" s="10" t="n">
        <v>3</v>
      </c>
      <c r="F145" s="10" t="n">
        <v>0</v>
      </c>
      <c r="G145" s="10" t="n">
        <v>0</v>
      </c>
      <c r="H145" s="29" t="n">
        <v>385</v>
      </c>
      <c r="I145" s="29" t="n">
        <v>393</v>
      </c>
      <c r="J145" s="30" t="n">
        <v>165</v>
      </c>
      <c r="K145" s="30" t="n">
        <v>177</v>
      </c>
      <c r="L145" s="30" t="n">
        <v>95</v>
      </c>
      <c r="M145" s="30" t="n">
        <v>104</v>
      </c>
      <c r="N145" s="31" t="n">
        <f aca="false">SUM(J145:M145)</f>
        <v>541</v>
      </c>
      <c r="O145" s="32" t="n">
        <v>0</v>
      </c>
      <c r="P145" s="33" t="n">
        <f aca="false">P123+Q123</f>
        <v>63</v>
      </c>
      <c r="Q145" s="33" t="n">
        <v>4</v>
      </c>
      <c r="R145" s="33" t="n">
        <f aca="false">R123+S123</f>
        <v>135</v>
      </c>
      <c r="S145" s="33" t="n">
        <v>5</v>
      </c>
      <c r="T145" s="33" t="n">
        <f aca="false">T123+U123</f>
        <v>66</v>
      </c>
      <c r="U145" s="34" t="n">
        <v>2</v>
      </c>
      <c r="V145" s="33" t="n">
        <f aca="false">V123+W123</f>
        <v>74</v>
      </c>
      <c r="W145" s="34" t="n">
        <v>2</v>
      </c>
      <c r="X145" s="33" t="n">
        <f aca="false">X123+Y123</f>
        <v>39</v>
      </c>
      <c r="Y145" s="34" t="n">
        <v>2</v>
      </c>
      <c r="Z145" s="33" t="n">
        <f aca="false">Z123+AA123</f>
        <v>50</v>
      </c>
      <c r="AA145" s="34" t="n">
        <v>3</v>
      </c>
      <c r="AB145" s="33" t="n">
        <f aca="false">AB123+AC123</f>
        <v>25</v>
      </c>
      <c r="AC145" s="33" t="n">
        <v>4</v>
      </c>
      <c r="AD145" s="33" t="n">
        <f aca="false">AD123+AE123</f>
        <v>40</v>
      </c>
      <c r="AE145" s="33" t="n">
        <v>4</v>
      </c>
      <c r="AF145" s="33" t="n">
        <f aca="false">AF123+AG123</f>
        <v>18</v>
      </c>
      <c r="AG145" s="34" t="n">
        <v>2</v>
      </c>
      <c r="AH145" s="33" t="n">
        <f aca="false">AH123+AI123</f>
        <v>27</v>
      </c>
      <c r="AI145" s="34" t="n">
        <v>2</v>
      </c>
      <c r="AJ145" s="33" t="n">
        <f aca="false">AJ123+AK123</f>
        <v>13</v>
      </c>
      <c r="AK145" s="34" t="n">
        <v>2</v>
      </c>
      <c r="AL145" s="33" t="n">
        <f aca="false">AL123+AM123</f>
        <v>20</v>
      </c>
      <c r="AM145" s="34" t="n">
        <v>2</v>
      </c>
      <c r="AN145" s="35" t="n">
        <f aca="false">P145+AB145</f>
        <v>88</v>
      </c>
      <c r="AO145" s="35" t="n">
        <f aca="false">Q145+AC145</f>
        <v>8</v>
      </c>
      <c r="AP145" s="35" t="n">
        <f aca="false">R145+AD145</f>
        <v>175</v>
      </c>
      <c r="AQ145" s="35" t="n">
        <f aca="false">S145+AE145</f>
        <v>9</v>
      </c>
      <c r="AR145" s="35" t="n">
        <f aca="false">T145+AF145</f>
        <v>84</v>
      </c>
      <c r="AS145" s="35" t="n">
        <f aca="false">U145+AG145</f>
        <v>4</v>
      </c>
      <c r="AT145" s="35" t="n">
        <f aca="false">V145+AH145</f>
        <v>101</v>
      </c>
      <c r="AU145" s="35" t="n">
        <f aca="false">W145+AI145</f>
        <v>4</v>
      </c>
      <c r="AV145" s="35" t="n">
        <f aca="false">X145+AJ145</f>
        <v>52</v>
      </c>
      <c r="AW145" s="35" t="n">
        <f aca="false">Y145+AK145</f>
        <v>4</v>
      </c>
      <c r="AX145" s="35" t="n">
        <f aca="false">Z145+AL145</f>
        <v>70</v>
      </c>
      <c r="AY145" s="35" t="n">
        <f aca="false">AA145+AM145</f>
        <v>5</v>
      </c>
      <c r="AZ145" s="36" t="n">
        <f aca="false">AO145</f>
        <v>8</v>
      </c>
      <c r="BA145" s="36" t="n">
        <f aca="false">SUM(AN145:AO145)</f>
        <v>96</v>
      </c>
      <c r="BB145" s="36" t="n">
        <f aca="false">S145+AE145</f>
        <v>9</v>
      </c>
      <c r="BC145" s="36" t="n">
        <f aca="false">SUM(AP145:AQ145)</f>
        <v>184</v>
      </c>
      <c r="BD145" s="36" t="n">
        <f aca="false">U145+AG145</f>
        <v>4</v>
      </c>
      <c r="BE145" s="36" t="n">
        <f aca="false">SUM(AR145:AS145)</f>
        <v>88</v>
      </c>
      <c r="BF145" s="36" t="n">
        <f aca="false">W145+AI145</f>
        <v>4</v>
      </c>
      <c r="BG145" s="36" t="n">
        <f aca="false">SUM(AT145:AU145)</f>
        <v>105</v>
      </c>
      <c r="BH145" s="36" t="n">
        <f aca="false">Y145+AK145</f>
        <v>4</v>
      </c>
      <c r="BI145" s="36" t="n">
        <f aca="false">SUM(AV145:AW145)</f>
        <v>56</v>
      </c>
      <c r="BJ145" s="36" t="n">
        <f aca="false">AA145+AM145</f>
        <v>5</v>
      </c>
      <c r="BK145" s="36" t="n">
        <f aca="false">SUM(AX145:AY145)</f>
        <v>75</v>
      </c>
      <c r="BL145" s="37" t="n">
        <f aca="false">BE145+BI145</f>
        <v>144</v>
      </c>
      <c r="BM145" s="37" t="n">
        <f aca="false">BG145+BK145</f>
        <v>180</v>
      </c>
      <c r="BN145" s="38" t="n">
        <f aca="false">BL145+BM145</f>
        <v>324</v>
      </c>
      <c r="BO145" s="39" t="n">
        <f aca="false">BN145/N145*100</f>
        <v>59.8890942698706</v>
      </c>
      <c r="BP145" s="10" t="n">
        <v>30</v>
      </c>
      <c r="BQ145" s="10" t="n">
        <v>0</v>
      </c>
      <c r="BR145" s="10" t="n">
        <v>0</v>
      </c>
      <c r="BS145" s="10" t="n">
        <v>21</v>
      </c>
      <c r="BT145" s="10" t="n">
        <v>0</v>
      </c>
      <c r="BU145" s="10" t="n">
        <v>0</v>
      </c>
    </row>
    <row r="146" customFormat="false" ht="32.25" hidden="false" customHeight="true" outlineLevel="0" collapsed="false">
      <c r="A146" s="27" t="n">
        <v>3</v>
      </c>
      <c r="B146" s="28" t="s">
        <v>44</v>
      </c>
      <c r="C146" s="10" t="n">
        <v>2</v>
      </c>
      <c r="D146" s="10" t="n">
        <v>0</v>
      </c>
      <c r="E146" s="10" t="n">
        <v>2</v>
      </c>
      <c r="F146" s="10" t="n">
        <v>0</v>
      </c>
      <c r="G146" s="10" t="n">
        <v>0</v>
      </c>
      <c r="H146" s="29" t="n">
        <v>178</v>
      </c>
      <c r="I146" s="29" t="n">
        <v>178</v>
      </c>
      <c r="J146" s="30" t="n">
        <v>70</v>
      </c>
      <c r="K146" s="30" t="n">
        <v>87</v>
      </c>
      <c r="L146" s="30" t="n">
        <v>45</v>
      </c>
      <c r="M146" s="30" t="n">
        <v>46</v>
      </c>
      <c r="N146" s="31" t="n">
        <f aca="false">SUM(J146:M146)</f>
        <v>248</v>
      </c>
      <c r="O146" s="32" t="n">
        <v>0</v>
      </c>
      <c r="P146" s="33" t="n">
        <f aca="false">P124+Q124</f>
        <v>27</v>
      </c>
      <c r="Q146" s="33"/>
      <c r="R146" s="33" t="n">
        <f aca="false">R124+S124</f>
        <v>54</v>
      </c>
      <c r="S146" s="33"/>
      <c r="T146" s="33" t="n">
        <f aca="false">T124+U124</f>
        <v>24</v>
      </c>
      <c r="U146" s="34" t="n">
        <v>3</v>
      </c>
      <c r="V146" s="33" t="n">
        <f aca="false">V124+W124</f>
        <v>24</v>
      </c>
      <c r="W146" s="34" t="n">
        <v>4</v>
      </c>
      <c r="X146" s="33" t="n">
        <f aca="false">X124+Y124</f>
        <v>7</v>
      </c>
      <c r="Y146" s="34" t="n">
        <v>4</v>
      </c>
      <c r="Z146" s="33" t="n">
        <f aca="false">Z124+AA124</f>
        <v>14</v>
      </c>
      <c r="AA146" s="34" t="n">
        <v>2</v>
      </c>
      <c r="AB146" s="33" t="n">
        <f aca="false">AB124+AC124</f>
        <v>8</v>
      </c>
      <c r="AC146" s="33"/>
      <c r="AD146" s="33" t="n">
        <f aca="false">AD124+AE124</f>
        <v>12</v>
      </c>
      <c r="AE146" s="33"/>
      <c r="AF146" s="33" t="n">
        <f aca="false">AF124+AG124</f>
        <v>3</v>
      </c>
      <c r="AG146" s="34" t="n">
        <v>2</v>
      </c>
      <c r="AH146" s="33" t="n">
        <f aca="false">AH124+AI124</f>
        <v>14</v>
      </c>
      <c r="AI146" s="34" t="n">
        <v>5</v>
      </c>
      <c r="AJ146" s="33" t="n">
        <f aca="false">AJ124+AK124</f>
        <v>0</v>
      </c>
      <c r="AK146" s="34" t="n">
        <v>3</v>
      </c>
      <c r="AL146" s="33" t="n">
        <f aca="false">AL124+AM124</f>
        <v>6</v>
      </c>
      <c r="AM146" s="34" t="n">
        <v>2</v>
      </c>
      <c r="AN146" s="35" t="n">
        <f aca="false">P146+AB146</f>
        <v>35</v>
      </c>
      <c r="AO146" s="35" t="n">
        <f aca="false">Q146+AC146</f>
        <v>0</v>
      </c>
      <c r="AP146" s="35" t="n">
        <f aca="false">R146+AD146</f>
        <v>66</v>
      </c>
      <c r="AQ146" s="35" t="n">
        <f aca="false">S146+AE146</f>
        <v>0</v>
      </c>
      <c r="AR146" s="35" t="n">
        <f aca="false">T146+AF146</f>
        <v>27</v>
      </c>
      <c r="AS146" s="35" t="n">
        <f aca="false">U146+AG146</f>
        <v>5</v>
      </c>
      <c r="AT146" s="35" t="n">
        <f aca="false">V146+AH146</f>
        <v>38</v>
      </c>
      <c r="AU146" s="35" t="n">
        <f aca="false">W146+AI146</f>
        <v>9</v>
      </c>
      <c r="AV146" s="35" t="n">
        <f aca="false">X146+AJ146</f>
        <v>7</v>
      </c>
      <c r="AW146" s="35" t="n">
        <f aca="false">Y146+AK146</f>
        <v>7</v>
      </c>
      <c r="AX146" s="35" t="n">
        <f aca="false">Z146+AL146</f>
        <v>20</v>
      </c>
      <c r="AY146" s="35" t="n">
        <f aca="false">AA146+AM146</f>
        <v>4</v>
      </c>
      <c r="AZ146" s="36" t="n">
        <f aca="false">AO146</f>
        <v>0</v>
      </c>
      <c r="BA146" s="36" t="n">
        <f aca="false">SUM(AN146:AO146)</f>
        <v>35</v>
      </c>
      <c r="BB146" s="36" t="n">
        <f aca="false">S146+AE146</f>
        <v>0</v>
      </c>
      <c r="BC146" s="36" t="n">
        <f aca="false">SUM(AP146:AQ146)</f>
        <v>66</v>
      </c>
      <c r="BD146" s="36" t="n">
        <f aca="false">U146+AG146</f>
        <v>5</v>
      </c>
      <c r="BE146" s="36" t="n">
        <f aca="false">SUM(AR146:AS146)</f>
        <v>32</v>
      </c>
      <c r="BF146" s="36" t="n">
        <f aca="false">W146+AI146</f>
        <v>9</v>
      </c>
      <c r="BG146" s="36" t="n">
        <f aca="false">SUM(AT146:AU146)</f>
        <v>47</v>
      </c>
      <c r="BH146" s="36" t="n">
        <f aca="false">Y146+AK146</f>
        <v>7</v>
      </c>
      <c r="BI146" s="36" t="n">
        <f aca="false">SUM(AV146:AW146)</f>
        <v>14</v>
      </c>
      <c r="BJ146" s="36" t="n">
        <f aca="false">AA146+AM146</f>
        <v>4</v>
      </c>
      <c r="BK146" s="36" t="n">
        <f aca="false">SUM(AX146:AY146)</f>
        <v>24</v>
      </c>
      <c r="BL146" s="37" t="n">
        <f aca="false">BE146+BI146</f>
        <v>46</v>
      </c>
      <c r="BM146" s="37" t="n">
        <f aca="false">BG146+BK146</f>
        <v>71</v>
      </c>
      <c r="BN146" s="38" t="n">
        <f aca="false">BL146+BM146</f>
        <v>117</v>
      </c>
      <c r="BO146" s="39" t="n">
        <f aca="false">BN146/N146*100</f>
        <v>47.1774193548387</v>
      </c>
      <c r="BP146" s="10" t="n">
        <v>1</v>
      </c>
      <c r="BQ146" s="10" t="n">
        <v>0</v>
      </c>
      <c r="BR146" s="10" t="n">
        <v>0</v>
      </c>
      <c r="BS146" s="10" t="n">
        <v>0</v>
      </c>
      <c r="BT146" s="10" t="n">
        <v>0</v>
      </c>
      <c r="BU146" s="10" t="n">
        <v>0</v>
      </c>
    </row>
    <row r="147" customFormat="false" ht="32.25" hidden="false" customHeight="true" outlineLevel="0" collapsed="false">
      <c r="A147" s="27" t="n">
        <v>4</v>
      </c>
      <c r="B147" s="28" t="s">
        <v>45</v>
      </c>
      <c r="C147" s="10" t="n">
        <v>2</v>
      </c>
      <c r="D147" s="10" t="n">
        <v>0</v>
      </c>
      <c r="E147" s="10" t="n">
        <v>2</v>
      </c>
      <c r="F147" s="10" t="n">
        <v>0</v>
      </c>
      <c r="G147" s="10" t="n">
        <v>0</v>
      </c>
      <c r="H147" s="29" t="n">
        <v>245</v>
      </c>
      <c r="I147" s="29" t="n">
        <v>248</v>
      </c>
      <c r="J147" s="30" t="n">
        <v>100</v>
      </c>
      <c r="K147" s="30" t="n">
        <v>117</v>
      </c>
      <c r="L147" s="30" t="n">
        <v>60</v>
      </c>
      <c r="M147" s="30" t="n">
        <v>66</v>
      </c>
      <c r="N147" s="31" t="n">
        <f aca="false">SUM(J147:M147)</f>
        <v>343</v>
      </c>
      <c r="O147" s="32" t="n">
        <v>0</v>
      </c>
      <c r="P147" s="33" t="n">
        <f aca="false">P125+Q125</f>
        <v>36</v>
      </c>
      <c r="Q147" s="42"/>
      <c r="R147" s="33" t="n">
        <f aca="false">R125+S125</f>
        <v>64</v>
      </c>
      <c r="S147" s="33"/>
      <c r="T147" s="33" t="n">
        <f aca="false">T125+U125</f>
        <v>24</v>
      </c>
      <c r="U147" s="34" t="n">
        <v>1</v>
      </c>
      <c r="V147" s="33" t="n">
        <f aca="false">V125+W125</f>
        <v>60</v>
      </c>
      <c r="W147" s="34" t="n">
        <v>2</v>
      </c>
      <c r="X147" s="33" t="n">
        <f aca="false">X125+Y125</f>
        <v>22</v>
      </c>
      <c r="Y147" s="34" t="n">
        <v>2</v>
      </c>
      <c r="Z147" s="33" t="n">
        <f aca="false">Z125+AA125</f>
        <v>29</v>
      </c>
      <c r="AA147" s="34" t="n">
        <v>1</v>
      </c>
      <c r="AB147" s="33" t="n">
        <f aca="false">AB125+AC125</f>
        <v>39</v>
      </c>
      <c r="AC147" s="43" t="n">
        <v>12</v>
      </c>
      <c r="AD147" s="33" t="n">
        <f aca="false">AD125+AE125</f>
        <v>39</v>
      </c>
      <c r="AE147" s="33" t="n">
        <v>11</v>
      </c>
      <c r="AF147" s="33" t="n">
        <f aca="false">AF125+AG125</f>
        <v>38</v>
      </c>
      <c r="AG147" s="34" t="n">
        <v>1</v>
      </c>
      <c r="AH147" s="33" t="n">
        <f aca="false">AH125+AI125</f>
        <v>49</v>
      </c>
      <c r="AI147" s="34" t="n">
        <v>1</v>
      </c>
      <c r="AJ147" s="33" t="n">
        <f aca="false">AJ125+AK125</f>
        <v>37</v>
      </c>
      <c r="AK147" s="34" t="n">
        <v>1</v>
      </c>
      <c r="AL147" s="33" t="n">
        <f aca="false">AL125+AM125</f>
        <v>43</v>
      </c>
      <c r="AM147" s="34" t="n">
        <v>2</v>
      </c>
      <c r="AN147" s="35" t="n">
        <f aca="false">P147+AB147</f>
        <v>75</v>
      </c>
      <c r="AO147" s="35" t="n">
        <f aca="false">Q147+AC147</f>
        <v>12</v>
      </c>
      <c r="AP147" s="35" t="n">
        <f aca="false">R147+AD147</f>
        <v>103</v>
      </c>
      <c r="AQ147" s="35" t="n">
        <f aca="false">S147+AE147</f>
        <v>11</v>
      </c>
      <c r="AR147" s="35" t="n">
        <f aca="false">T147+AF147</f>
        <v>62</v>
      </c>
      <c r="AS147" s="35" t="n">
        <f aca="false">U147+AG147</f>
        <v>2</v>
      </c>
      <c r="AT147" s="35" t="n">
        <f aca="false">V147+AH147</f>
        <v>109</v>
      </c>
      <c r="AU147" s="35" t="n">
        <f aca="false">W147+AI147</f>
        <v>3</v>
      </c>
      <c r="AV147" s="35" t="n">
        <f aca="false">X147+AJ147</f>
        <v>59</v>
      </c>
      <c r="AW147" s="35" t="n">
        <f aca="false">Y147+AK147</f>
        <v>3</v>
      </c>
      <c r="AX147" s="35" t="n">
        <f aca="false">Z147+AL147</f>
        <v>72</v>
      </c>
      <c r="AY147" s="35" t="n">
        <f aca="false">AA147+AM147</f>
        <v>3</v>
      </c>
      <c r="AZ147" s="36" t="n">
        <f aca="false">AO147</f>
        <v>12</v>
      </c>
      <c r="BA147" s="36" t="n">
        <f aca="false">SUM(AN147:AO147)</f>
        <v>87</v>
      </c>
      <c r="BB147" s="36" t="n">
        <f aca="false">S147+AE147</f>
        <v>11</v>
      </c>
      <c r="BC147" s="36" t="n">
        <f aca="false">SUM(AP147:AQ147)</f>
        <v>114</v>
      </c>
      <c r="BD147" s="36" t="n">
        <f aca="false">U147+AG147</f>
        <v>2</v>
      </c>
      <c r="BE147" s="36" t="n">
        <f aca="false">SUM(AR147:AS147)</f>
        <v>64</v>
      </c>
      <c r="BF147" s="36" t="n">
        <f aca="false">W147+AI147</f>
        <v>3</v>
      </c>
      <c r="BG147" s="36" t="n">
        <f aca="false">SUM(AT147:AU147)</f>
        <v>112</v>
      </c>
      <c r="BH147" s="36" t="n">
        <f aca="false">Y147+AK147</f>
        <v>3</v>
      </c>
      <c r="BI147" s="36" t="n">
        <f aca="false">SUM(AV147:AW147)</f>
        <v>62</v>
      </c>
      <c r="BJ147" s="36" t="n">
        <f aca="false">AA147+AM147</f>
        <v>3</v>
      </c>
      <c r="BK147" s="36" t="n">
        <f aca="false">SUM(AX147:AY147)</f>
        <v>75</v>
      </c>
      <c r="BL147" s="37" t="n">
        <f aca="false">BE147+BI147</f>
        <v>126</v>
      </c>
      <c r="BM147" s="37" t="n">
        <f aca="false">BG147+BK147</f>
        <v>187</v>
      </c>
      <c r="BN147" s="38" t="n">
        <f aca="false">BL147+BM147</f>
        <v>313</v>
      </c>
      <c r="BO147" s="39" t="n">
        <f aca="false">BN147/N147*100</f>
        <v>91.2536443148688</v>
      </c>
      <c r="BP147" s="10" t="n">
        <v>28</v>
      </c>
      <c r="BQ147" s="10" t="n">
        <v>0</v>
      </c>
      <c r="BR147" s="10" t="n">
        <v>0</v>
      </c>
      <c r="BS147" s="10" t="n">
        <v>17</v>
      </c>
      <c r="BT147" s="10" t="n">
        <v>0</v>
      </c>
      <c r="BU147" s="10" t="n">
        <v>0</v>
      </c>
    </row>
    <row r="148" customFormat="false" ht="32.25" hidden="false" customHeight="true" outlineLevel="0" collapsed="false">
      <c r="A148" s="27" t="n">
        <v>5</v>
      </c>
      <c r="B148" s="28" t="s">
        <v>46</v>
      </c>
      <c r="C148" s="10" t="n">
        <v>2</v>
      </c>
      <c r="D148" s="10" t="n">
        <v>0</v>
      </c>
      <c r="E148" s="10" t="n">
        <v>2</v>
      </c>
      <c r="F148" s="10" t="n">
        <v>0</v>
      </c>
      <c r="G148" s="10" t="n">
        <v>0</v>
      </c>
      <c r="H148" s="29" t="n">
        <v>238</v>
      </c>
      <c r="I148" s="29" t="n">
        <v>239</v>
      </c>
      <c r="J148" s="30" t="n">
        <v>95</v>
      </c>
      <c r="K148" s="30" t="n">
        <v>114</v>
      </c>
      <c r="L148" s="30" t="n">
        <v>55</v>
      </c>
      <c r="M148" s="30" t="n">
        <v>67</v>
      </c>
      <c r="N148" s="31" t="n">
        <f aca="false">SUM(J148:M148)</f>
        <v>331</v>
      </c>
      <c r="O148" s="32" t="n">
        <v>0</v>
      </c>
      <c r="P148" s="33" t="n">
        <f aca="false">P126+Q126</f>
        <v>42</v>
      </c>
      <c r="Q148" s="43" t="n">
        <v>2</v>
      </c>
      <c r="R148" s="33" t="n">
        <f aca="false">R126+S126</f>
        <v>77</v>
      </c>
      <c r="S148" s="33" t="n">
        <v>2</v>
      </c>
      <c r="T148" s="33" t="n">
        <f aca="false">T126+U126</f>
        <v>57</v>
      </c>
      <c r="U148" s="34" t="n">
        <v>4</v>
      </c>
      <c r="V148" s="33" t="n">
        <f aca="false">V126+W126</f>
        <v>57</v>
      </c>
      <c r="W148" s="34" t="n">
        <v>3</v>
      </c>
      <c r="X148" s="33" t="n">
        <f aca="false">X126+Y126</f>
        <v>11</v>
      </c>
      <c r="Y148" s="34" t="n">
        <v>3</v>
      </c>
      <c r="Z148" s="33" t="n">
        <f aca="false">Z126+AA126</f>
        <v>22</v>
      </c>
      <c r="AA148" s="34" t="n">
        <v>1</v>
      </c>
      <c r="AB148" s="33" t="n">
        <f aca="false">AB126+AC126</f>
        <v>7</v>
      </c>
      <c r="AC148" s="43" t="n">
        <v>2</v>
      </c>
      <c r="AD148" s="33" t="n">
        <f aca="false">AD126+AE126</f>
        <v>34</v>
      </c>
      <c r="AE148" s="33" t="n">
        <v>3</v>
      </c>
      <c r="AF148" s="33" t="n">
        <f aca="false">AF126+AG126</f>
        <v>7</v>
      </c>
      <c r="AG148" s="34" t="n">
        <v>1</v>
      </c>
      <c r="AH148" s="33" t="n">
        <f aca="false">AH126+AI126</f>
        <v>28</v>
      </c>
      <c r="AI148" s="34" t="n">
        <v>3</v>
      </c>
      <c r="AJ148" s="33" t="n">
        <f aca="false">AJ126+AK126</f>
        <v>4</v>
      </c>
      <c r="AK148" s="34" t="n">
        <v>1</v>
      </c>
      <c r="AL148" s="33" t="n">
        <f aca="false">AL126+AM126</f>
        <v>7</v>
      </c>
      <c r="AM148" s="34" t="n">
        <v>1</v>
      </c>
      <c r="AN148" s="35" t="n">
        <f aca="false">P148+AB148</f>
        <v>49</v>
      </c>
      <c r="AO148" s="35" t="n">
        <f aca="false">Q148+AC148</f>
        <v>4</v>
      </c>
      <c r="AP148" s="35" t="n">
        <f aca="false">R148+AD148</f>
        <v>111</v>
      </c>
      <c r="AQ148" s="35" t="n">
        <f aca="false">S148+AE148</f>
        <v>5</v>
      </c>
      <c r="AR148" s="35" t="n">
        <f aca="false">T148+AF148</f>
        <v>64</v>
      </c>
      <c r="AS148" s="35" t="n">
        <f aca="false">U148+AG148</f>
        <v>5</v>
      </c>
      <c r="AT148" s="35" t="n">
        <f aca="false">V148+AH148</f>
        <v>85</v>
      </c>
      <c r="AU148" s="35" t="n">
        <f aca="false">W148+AI148</f>
        <v>6</v>
      </c>
      <c r="AV148" s="35" t="n">
        <f aca="false">X148+AJ148</f>
        <v>15</v>
      </c>
      <c r="AW148" s="35" t="n">
        <f aca="false">Y148+AK148</f>
        <v>4</v>
      </c>
      <c r="AX148" s="35" t="n">
        <f aca="false">Z148+AL148</f>
        <v>29</v>
      </c>
      <c r="AY148" s="35" t="n">
        <f aca="false">AA148+AM148</f>
        <v>2</v>
      </c>
      <c r="AZ148" s="36" t="n">
        <f aca="false">AO148</f>
        <v>4</v>
      </c>
      <c r="BA148" s="36" t="n">
        <f aca="false">SUM(AN148:AO148)</f>
        <v>53</v>
      </c>
      <c r="BB148" s="36" t="n">
        <f aca="false">S148+AE148</f>
        <v>5</v>
      </c>
      <c r="BC148" s="36" t="n">
        <f aca="false">SUM(AP148:AQ148)</f>
        <v>116</v>
      </c>
      <c r="BD148" s="36" t="n">
        <f aca="false">U148+AG148</f>
        <v>5</v>
      </c>
      <c r="BE148" s="36" t="n">
        <f aca="false">SUM(AR148:AS148)</f>
        <v>69</v>
      </c>
      <c r="BF148" s="36" t="n">
        <f aca="false">W148+AI148</f>
        <v>6</v>
      </c>
      <c r="BG148" s="36" t="n">
        <f aca="false">SUM(AT148:AU148)</f>
        <v>91</v>
      </c>
      <c r="BH148" s="36" t="n">
        <f aca="false">Y148+AK148</f>
        <v>4</v>
      </c>
      <c r="BI148" s="36" t="n">
        <f aca="false">SUM(AV148:AW148)</f>
        <v>19</v>
      </c>
      <c r="BJ148" s="36" t="n">
        <f aca="false">AA148+AM148</f>
        <v>2</v>
      </c>
      <c r="BK148" s="36" t="n">
        <f aca="false">SUM(AX148:AY148)</f>
        <v>31</v>
      </c>
      <c r="BL148" s="37" t="n">
        <f aca="false">BE148+BI148</f>
        <v>88</v>
      </c>
      <c r="BM148" s="37" t="n">
        <f aca="false">BG148+BK148</f>
        <v>122</v>
      </c>
      <c r="BN148" s="38" t="n">
        <f aca="false">BL148+BM148</f>
        <v>210</v>
      </c>
      <c r="BO148" s="39" t="n">
        <f aca="false">BN148/N148*100</f>
        <v>63.4441087613293</v>
      </c>
      <c r="BP148" s="10" t="n">
        <v>27</v>
      </c>
      <c r="BQ148" s="10" t="n">
        <v>0</v>
      </c>
      <c r="BR148" s="10" t="n">
        <v>0</v>
      </c>
      <c r="BS148" s="10" t="n">
        <v>5</v>
      </c>
      <c r="BT148" s="10" t="n">
        <v>0</v>
      </c>
      <c r="BU148" s="10" t="n">
        <v>0</v>
      </c>
    </row>
    <row r="149" customFormat="false" ht="32.25" hidden="false" customHeight="true" outlineLevel="0" collapsed="false">
      <c r="A149" s="27" t="n">
        <v>5</v>
      </c>
      <c r="B149" s="28" t="s">
        <v>47</v>
      </c>
      <c r="C149" s="10" t="n">
        <v>3</v>
      </c>
      <c r="D149" s="10" t="n">
        <v>0</v>
      </c>
      <c r="E149" s="10" t="n">
        <v>3</v>
      </c>
      <c r="F149" s="10" t="n">
        <v>0</v>
      </c>
      <c r="G149" s="10" t="n">
        <v>0</v>
      </c>
      <c r="H149" s="29" t="n">
        <v>302</v>
      </c>
      <c r="I149" s="29" t="n">
        <v>303</v>
      </c>
      <c r="J149" s="30" t="n">
        <v>155</v>
      </c>
      <c r="K149" s="30" t="n">
        <v>110</v>
      </c>
      <c r="L149" s="30" t="n">
        <v>75</v>
      </c>
      <c r="M149" s="30" t="n">
        <v>80</v>
      </c>
      <c r="N149" s="31" t="n">
        <f aca="false">SUM(J149:M149)</f>
        <v>420</v>
      </c>
      <c r="O149" s="32" t="n">
        <v>0</v>
      </c>
      <c r="P149" s="33" t="n">
        <f aca="false">P127+Q127</f>
        <v>59</v>
      </c>
      <c r="Q149" s="33"/>
      <c r="R149" s="33" t="n">
        <f aca="false">R127+S127</f>
        <v>72</v>
      </c>
      <c r="S149" s="33"/>
      <c r="T149" s="33" t="n">
        <f aca="false">T127+U127</f>
        <v>25</v>
      </c>
      <c r="U149" s="34" t="n">
        <v>8</v>
      </c>
      <c r="V149" s="33" t="n">
        <f aca="false">V127+W127</f>
        <v>23</v>
      </c>
      <c r="W149" s="34" t="n">
        <v>3</v>
      </c>
      <c r="X149" s="33" t="n">
        <f aca="false">X127+Y127</f>
        <v>12</v>
      </c>
      <c r="Y149" s="34" t="n">
        <v>5</v>
      </c>
      <c r="Z149" s="33" t="n">
        <f aca="false">Z127+AA127</f>
        <v>20</v>
      </c>
      <c r="AA149" s="34" t="n">
        <v>6</v>
      </c>
      <c r="AB149" s="33" t="n">
        <f aca="false">AB127+AC127</f>
        <v>22</v>
      </c>
      <c r="AC149" s="33" t="n">
        <v>1</v>
      </c>
      <c r="AD149" s="33" t="n">
        <f aca="false">AD127+AE127</f>
        <v>27</v>
      </c>
      <c r="AE149" s="33" t="n">
        <v>1</v>
      </c>
      <c r="AF149" s="33" t="n">
        <f aca="false">AF127+AG127</f>
        <v>10</v>
      </c>
      <c r="AG149" s="34" t="n">
        <v>6</v>
      </c>
      <c r="AH149" s="33" t="n">
        <f aca="false">AH127+AI127</f>
        <v>15</v>
      </c>
      <c r="AI149" s="34" t="n">
        <v>4</v>
      </c>
      <c r="AJ149" s="33" t="n">
        <f aca="false">AJ127+AK127</f>
        <v>7</v>
      </c>
      <c r="AK149" s="34" t="n">
        <v>5</v>
      </c>
      <c r="AL149" s="33" t="n">
        <f aca="false">AL127+AM127</f>
        <v>7</v>
      </c>
      <c r="AM149" s="34" t="n">
        <v>5</v>
      </c>
      <c r="AN149" s="35" t="n">
        <f aca="false">P149+AB149</f>
        <v>81</v>
      </c>
      <c r="AO149" s="35" t="n">
        <f aca="false">Q149+AC149</f>
        <v>1</v>
      </c>
      <c r="AP149" s="35" t="n">
        <f aca="false">R149+AD149</f>
        <v>99</v>
      </c>
      <c r="AQ149" s="35" t="n">
        <f aca="false">S149+AE149</f>
        <v>1</v>
      </c>
      <c r="AR149" s="35" t="n">
        <f aca="false">T149+AF149</f>
        <v>35</v>
      </c>
      <c r="AS149" s="35" t="n">
        <f aca="false">U149+AG149</f>
        <v>14</v>
      </c>
      <c r="AT149" s="35" t="n">
        <f aca="false">V149+AH149</f>
        <v>38</v>
      </c>
      <c r="AU149" s="35" t="n">
        <f aca="false">W149+AI149</f>
        <v>7</v>
      </c>
      <c r="AV149" s="35" t="n">
        <f aca="false">X149+AJ149</f>
        <v>19</v>
      </c>
      <c r="AW149" s="35" t="n">
        <f aca="false">Y149+AK149</f>
        <v>10</v>
      </c>
      <c r="AX149" s="35" t="n">
        <f aca="false">Z149+AL149</f>
        <v>27</v>
      </c>
      <c r="AY149" s="35" t="n">
        <f aca="false">AA149+AM149</f>
        <v>11</v>
      </c>
      <c r="AZ149" s="36" t="n">
        <f aca="false">AO149</f>
        <v>1</v>
      </c>
      <c r="BA149" s="36" t="n">
        <f aca="false">SUM(AN149:AO149)</f>
        <v>82</v>
      </c>
      <c r="BB149" s="36" t="n">
        <f aca="false">S149+AE149</f>
        <v>1</v>
      </c>
      <c r="BC149" s="36" t="n">
        <f aca="false">SUM(AP149:AQ149)</f>
        <v>100</v>
      </c>
      <c r="BD149" s="36" t="n">
        <f aca="false">U149+AG149</f>
        <v>14</v>
      </c>
      <c r="BE149" s="36" t="n">
        <f aca="false">SUM(AR149:AS149)</f>
        <v>49</v>
      </c>
      <c r="BF149" s="36" t="n">
        <f aca="false">W149+AI149</f>
        <v>7</v>
      </c>
      <c r="BG149" s="36" t="n">
        <f aca="false">SUM(AT149:AU149)</f>
        <v>45</v>
      </c>
      <c r="BH149" s="36" t="n">
        <f aca="false">Y149+AK149</f>
        <v>10</v>
      </c>
      <c r="BI149" s="36" t="n">
        <f aca="false">SUM(AV149:AW149)</f>
        <v>29</v>
      </c>
      <c r="BJ149" s="36" t="n">
        <f aca="false">AA149+AM149</f>
        <v>11</v>
      </c>
      <c r="BK149" s="36" t="n">
        <f aca="false">SUM(AX149:AY149)</f>
        <v>38</v>
      </c>
      <c r="BL149" s="37" t="n">
        <f aca="false">BE149+BI149</f>
        <v>78</v>
      </c>
      <c r="BM149" s="37" t="n">
        <f aca="false">BG149+BK149</f>
        <v>83</v>
      </c>
      <c r="BN149" s="38" t="n">
        <f aca="false">BL149+BM149</f>
        <v>161</v>
      </c>
      <c r="BO149" s="39" t="n">
        <f aca="false">BN149/N149*100</f>
        <v>38.3333333333333</v>
      </c>
      <c r="BP149" s="10" t="n">
        <v>10</v>
      </c>
      <c r="BQ149" s="10" t="n">
        <v>1</v>
      </c>
      <c r="BR149" s="10" t="n">
        <v>0</v>
      </c>
      <c r="BS149" s="10" t="n">
        <v>6</v>
      </c>
      <c r="BT149" s="10" t="n">
        <v>0</v>
      </c>
      <c r="BU149" s="10" t="n">
        <v>0</v>
      </c>
    </row>
    <row r="150" customFormat="false" ht="36.75" hidden="false" customHeight="true" outlineLevel="0" collapsed="false">
      <c r="A150" s="15" t="s">
        <v>48</v>
      </c>
      <c r="B150" s="15"/>
      <c r="C150" s="21" t="n">
        <f aca="false">SUM(C144:C149)</f>
        <v>15</v>
      </c>
      <c r="D150" s="21" t="n">
        <f aca="false">SUM(D144:D149)</f>
        <v>0</v>
      </c>
      <c r="E150" s="21" t="n">
        <f aca="false">SUM(E144:E149)</f>
        <v>15</v>
      </c>
      <c r="F150" s="21" t="n">
        <f aca="false">SUM(F144:F149)</f>
        <v>0</v>
      </c>
      <c r="G150" s="21" t="n">
        <f aca="false">SUM(G144:G149)</f>
        <v>0</v>
      </c>
      <c r="H150" s="31" t="n">
        <f aca="false">SUM(H144:H149)</f>
        <v>1548</v>
      </c>
      <c r="I150" s="31" t="n">
        <f aca="false">SUM(I144:I149)</f>
        <v>1604</v>
      </c>
      <c r="J150" s="31" t="n">
        <f aca="false">SUM(J144:J149)</f>
        <v>765</v>
      </c>
      <c r="K150" s="31" t="n">
        <f aca="false">SUM(K144:K149)</f>
        <v>814</v>
      </c>
      <c r="L150" s="31" t="n">
        <f aca="false">SUM(L144:L149)</f>
        <v>440</v>
      </c>
      <c r="M150" s="31" t="n">
        <f aca="false">SUM(M144:M149)</f>
        <v>480</v>
      </c>
      <c r="N150" s="31" t="n">
        <f aca="false">SUM(J150:M150)</f>
        <v>2499</v>
      </c>
      <c r="O150" s="31" t="n">
        <v>1506</v>
      </c>
      <c r="P150" s="21" t="n">
        <f aca="false">SUM(P144:P149)</f>
        <v>297</v>
      </c>
      <c r="Q150" s="21" t="n">
        <f aca="false">SUM(Q144:Q149)</f>
        <v>6</v>
      </c>
      <c r="R150" s="21" t="n">
        <f aca="false">SUM(R144:R149)</f>
        <v>561</v>
      </c>
      <c r="S150" s="21" t="n">
        <f aca="false">SUM(S144:S149)</f>
        <v>7</v>
      </c>
      <c r="T150" s="21" t="n">
        <f aca="false">SUM(T144:T149)</f>
        <v>250</v>
      </c>
      <c r="U150" s="44" t="n">
        <f aca="false">SUM(U144:U149)</f>
        <v>28</v>
      </c>
      <c r="V150" s="44" t="n">
        <f aca="false">SUM(V144:V149)</f>
        <v>325</v>
      </c>
      <c r="W150" s="44" t="n">
        <f aca="false">SUM(W144:W149)</f>
        <v>25</v>
      </c>
      <c r="X150" s="44" t="n">
        <f aca="false">SUM(X144:X149)</f>
        <v>173</v>
      </c>
      <c r="Y150" s="44" t="n">
        <f aca="false">SUM(Y144:Y149)</f>
        <v>31</v>
      </c>
      <c r="Z150" s="44" t="n">
        <f aca="false">SUM(Z144:Z149)</f>
        <v>199</v>
      </c>
      <c r="AA150" s="44" t="n">
        <f aca="false">SUM(AA144:AA149)</f>
        <v>24</v>
      </c>
      <c r="AB150" s="21" t="n">
        <f aca="false">SUM(AB144:AB149)</f>
        <v>133</v>
      </c>
      <c r="AC150" s="21" t="n">
        <f aca="false">SUM(AC144:AC149)</f>
        <v>26</v>
      </c>
      <c r="AD150" s="21" t="n">
        <f aca="false">SUM(AD144:AD149)</f>
        <v>206</v>
      </c>
      <c r="AE150" s="21" t="n">
        <f aca="false">SUM(AE144:AE149)</f>
        <v>32</v>
      </c>
      <c r="AF150" s="44" t="n">
        <f aca="false">SUM(AF144:AF149)</f>
        <v>128</v>
      </c>
      <c r="AG150" s="44" t="n">
        <f aca="false">SUM(AG144:AG149)</f>
        <v>24</v>
      </c>
      <c r="AH150" s="44" t="n">
        <f aca="false">SUM(AH144:AH149)</f>
        <v>192</v>
      </c>
      <c r="AI150" s="44" t="n">
        <f aca="false">SUM(AI144:AI149)</f>
        <v>27</v>
      </c>
      <c r="AJ150" s="44" t="n">
        <f aca="false">SUM(AJ144:AJ149)</f>
        <v>78</v>
      </c>
      <c r="AK150" s="44" t="n">
        <f aca="false">SUM(AK144:AK149)</f>
        <v>19</v>
      </c>
      <c r="AL150" s="44" t="n">
        <f aca="false">SUM(AL144:AL149)</f>
        <v>107</v>
      </c>
      <c r="AM150" s="44" t="n">
        <f aca="false">SUM(AM144:AM149)</f>
        <v>20</v>
      </c>
      <c r="AN150" s="21" t="n">
        <f aca="false">SUM(AN144:AN149)</f>
        <v>430</v>
      </c>
      <c r="AO150" s="21" t="n">
        <f aca="false">SUM(AO144:AO149)</f>
        <v>32</v>
      </c>
      <c r="AP150" s="21" t="n">
        <f aca="false">SUM(AP144:AP149)</f>
        <v>767</v>
      </c>
      <c r="AQ150" s="21" t="n">
        <f aca="false">SUM(AQ144:AQ149)</f>
        <v>39</v>
      </c>
      <c r="AR150" s="44" t="n">
        <f aca="false">SUM(AR144:AR149)</f>
        <v>378</v>
      </c>
      <c r="AS150" s="44" t="n">
        <f aca="false">SUM(AS144:AS149)</f>
        <v>52</v>
      </c>
      <c r="AT150" s="44" t="n">
        <f aca="false">SUM(AT144:AT149)</f>
        <v>517</v>
      </c>
      <c r="AU150" s="44" t="n">
        <f aca="false">SUM(AU144:AU149)</f>
        <v>52</v>
      </c>
      <c r="AV150" s="44" t="n">
        <f aca="false">SUM(AV144:AV149)</f>
        <v>251</v>
      </c>
      <c r="AW150" s="44" t="n">
        <f aca="false">SUM(AW144:AW149)</f>
        <v>50</v>
      </c>
      <c r="AX150" s="44" t="n">
        <f aca="false">SUM(AX144:AX149)</f>
        <v>306</v>
      </c>
      <c r="AY150" s="44" t="n">
        <f aca="false">SUM(AY144:AY149)</f>
        <v>44</v>
      </c>
      <c r="AZ150" s="21" t="n">
        <f aca="false">SUM(AZ144:AZ149)</f>
        <v>32</v>
      </c>
      <c r="BA150" s="21" t="n">
        <f aca="false">SUM(BA144:BA149)</f>
        <v>462</v>
      </c>
      <c r="BB150" s="21" t="n">
        <f aca="false">SUM(BB144:BB149)</f>
        <v>39</v>
      </c>
      <c r="BC150" s="21" t="n">
        <f aca="false">SUM(BC144:BC149)</f>
        <v>806</v>
      </c>
      <c r="BD150" s="21" t="n">
        <f aca="false">SUM(BD144:BD149)</f>
        <v>52</v>
      </c>
      <c r="BE150" s="21" t="n">
        <f aca="false">SUM(BE144:BE149)</f>
        <v>430</v>
      </c>
      <c r="BF150" s="21" t="n">
        <f aca="false">SUM(BF144:BF149)</f>
        <v>52</v>
      </c>
      <c r="BG150" s="21" t="n">
        <f aca="false">SUM(BG144:BG149)</f>
        <v>569</v>
      </c>
      <c r="BH150" s="21" t="n">
        <f aca="false">SUM(BH144:BH149)</f>
        <v>50</v>
      </c>
      <c r="BI150" s="21" t="n">
        <f aca="false">SUM(BI144:BI149)</f>
        <v>301</v>
      </c>
      <c r="BJ150" s="21" t="n">
        <f aca="false">SUM(BJ144:BJ149)</f>
        <v>44</v>
      </c>
      <c r="BK150" s="21" t="n">
        <f aca="false">SUM(BK144:BK149)</f>
        <v>350</v>
      </c>
      <c r="BL150" s="21" t="n">
        <f aca="false">SUM(BL144:BL149)</f>
        <v>731</v>
      </c>
      <c r="BM150" s="21" t="n">
        <f aca="false">SUM(BM144:BM149)</f>
        <v>919</v>
      </c>
      <c r="BN150" s="45" t="n">
        <f aca="false">SUM(BN144:BN149)</f>
        <v>1650</v>
      </c>
      <c r="BO150" s="45" t="n">
        <f aca="false">BN150/N150*100</f>
        <v>66.0264105642257</v>
      </c>
      <c r="BP150" s="21" t="n">
        <f aca="false">SUM(BP144:BP149)</f>
        <v>128</v>
      </c>
      <c r="BQ150" s="21" t="n">
        <f aca="false">SUM(BQ144:BQ149)</f>
        <v>1</v>
      </c>
      <c r="BR150" s="21" t="n">
        <f aca="false">SUM(BR144:BR149)</f>
        <v>0</v>
      </c>
      <c r="BS150" s="21" t="n">
        <f aca="false">SUM(BS144:BS149)</f>
        <v>70</v>
      </c>
      <c r="BT150" s="21" t="n">
        <f aca="false">SUM(BT144:BT149)</f>
        <v>0</v>
      </c>
      <c r="BU150" s="21" t="n">
        <f aca="false">SUM(BU144:BU149)</f>
        <v>0</v>
      </c>
    </row>
    <row r="151" customFormat="false" ht="15.75" hidden="false" customHeight="false" outlineLevel="0" collapsed="false">
      <c r="Q151" s="47"/>
      <c r="R151" s="47"/>
      <c r="S151" s="47"/>
      <c r="T151" s="47"/>
      <c r="U151" s="54" t="n">
        <f aca="false">BO144</f>
        <v>85.2272727272727</v>
      </c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</row>
    <row r="152" customFormat="false" ht="15.75" hidden="false" customHeight="false" outlineLevel="0" collapsed="false">
      <c r="Q152" s="47"/>
      <c r="R152" s="47"/>
      <c r="S152" s="47"/>
      <c r="T152" s="47"/>
      <c r="U152" s="54" t="n">
        <f aca="false">BO145</f>
        <v>59.8890942698706</v>
      </c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</row>
    <row r="153" customFormat="false" ht="15.75" hidden="false" customHeight="false" outlineLevel="0" collapsed="false">
      <c r="Q153" s="47"/>
      <c r="R153" s="47"/>
      <c r="S153" s="47"/>
      <c r="T153" s="47"/>
      <c r="U153" s="54" t="n">
        <f aca="false">BO146</f>
        <v>47.1774193548387</v>
      </c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</row>
    <row r="154" customFormat="false" ht="15.75" hidden="false" customHeight="false" outlineLevel="0" collapsed="false">
      <c r="Q154" s="47"/>
      <c r="R154" s="47"/>
      <c r="S154" s="47"/>
      <c r="T154" s="47"/>
      <c r="U154" s="54" t="n">
        <f aca="false">BO147</f>
        <v>91.2536443148688</v>
      </c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</row>
    <row r="155" customFormat="false" ht="15.75" hidden="false" customHeight="false" outlineLevel="0" collapsed="false">
      <c r="A155" s="2" t="s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54" t="n">
        <f aca="false">BO148</f>
        <v>63.4441087613293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54" t="n">
        <f aca="false">BO149</f>
        <v>38.3333333333333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</row>
    <row r="157" customFormat="false" ht="15.75" hidden="false" customHeight="false" outlineLevel="0" collapsed="false">
      <c r="A157" s="3" t="s">
        <v>1</v>
      </c>
      <c r="B157" s="4"/>
      <c r="C157" s="4" t="s">
        <v>2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54" t="n">
        <f aca="false">BN150</f>
        <v>1650</v>
      </c>
      <c r="U157" s="54" t="n">
        <f aca="false">BO150</f>
        <v>66.0264105642257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</row>
    <row r="158" customFormat="false" ht="15.75" hidden="false" customHeight="false" outlineLevel="0" collapsed="false">
      <c r="A158" s="3" t="s">
        <v>3</v>
      </c>
      <c r="B158" s="4"/>
      <c r="C158" s="4" t="s">
        <v>4</v>
      </c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5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</row>
    <row r="159" customFormat="false" ht="15.75" hidden="false" customHeight="false" outlineLevel="0" collapsed="false">
      <c r="A159" s="3" t="s">
        <v>5</v>
      </c>
      <c r="B159" s="4"/>
      <c r="C159" s="4" t="s">
        <v>58</v>
      </c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</row>
    <row r="160" customFormat="false" ht="15.75" hidden="false" customHeight="false" outlineLevel="0" collapsed="false">
      <c r="A160" s="4"/>
      <c r="B160" s="4"/>
      <c r="C160" s="4"/>
      <c r="D160" s="4"/>
      <c r="E160" s="4"/>
      <c r="F160" s="4"/>
      <c r="G160" s="4"/>
      <c r="H160" s="5"/>
      <c r="I160" s="5"/>
      <c r="J160" s="5"/>
      <c r="K160" s="5"/>
      <c r="L160" s="5"/>
      <c r="M160" s="5"/>
      <c r="N160" s="5"/>
      <c r="O160" s="5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</row>
    <row r="161" customFormat="false" ht="33.75" hidden="false" customHeight="true" outlineLevel="0" collapsed="false">
      <c r="A161" s="7" t="s">
        <v>7</v>
      </c>
      <c r="B161" s="8" t="s">
        <v>8</v>
      </c>
      <c r="C161" s="8" t="s">
        <v>9</v>
      </c>
      <c r="D161" s="9" t="s">
        <v>10</v>
      </c>
      <c r="E161" s="9" t="s">
        <v>11</v>
      </c>
      <c r="F161" s="9" t="s">
        <v>12</v>
      </c>
      <c r="G161" s="9" t="s">
        <v>13</v>
      </c>
      <c r="H161" s="10" t="s">
        <v>14</v>
      </c>
      <c r="I161" s="10"/>
      <c r="J161" s="10"/>
      <c r="K161" s="10"/>
      <c r="L161" s="10"/>
      <c r="M161" s="11"/>
      <c r="N161" s="11"/>
      <c r="O161" s="8" t="s">
        <v>15</v>
      </c>
      <c r="P161" s="11" t="s">
        <v>16</v>
      </c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0" t="s">
        <v>17</v>
      </c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7" t="s">
        <v>18</v>
      </c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 t="s">
        <v>19</v>
      </c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8" t="s">
        <v>20</v>
      </c>
      <c r="BM161" s="8"/>
      <c r="BN161" s="8"/>
      <c r="BO161" s="8"/>
      <c r="BP161" s="7" t="s">
        <v>21</v>
      </c>
      <c r="BQ161" s="7"/>
      <c r="BR161" s="7"/>
      <c r="BS161" s="7" t="s">
        <v>21</v>
      </c>
      <c r="BT161" s="7"/>
      <c r="BU161" s="7"/>
    </row>
    <row r="162" customFormat="false" ht="44.25" hidden="false" customHeight="true" outlineLevel="0" collapsed="false">
      <c r="A162" s="7"/>
      <c r="B162" s="8"/>
      <c r="C162" s="8"/>
      <c r="D162" s="9"/>
      <c r="E162" s="9"/>
      <c r="F162" s="9"/>
      <c r="G162" s="9"/>
      <c r="H162" s="7" t="s">
        <v>22</v>
      </c>
      <c r="I162" s="7"/>
      <c r="J162" s="7" t="s">
        <v>23</v>
      </c>
      <c r="K162" s="7"/>
      <c r="L162" s="7" t="s">
        <v>24</v>
      </c>
      <c r="M162" s="7"/>
      <c r="N162" s="12" t="s">
        <v>25</v>
      </c>
      <c r="O162" s="8"/>
      <c r="P162" s="11" t="s">
        <v>22</v>
      </c>
      <c r="Q162" s="11"/>
      <c r="R162" s="11"/>
      <c r="S162" s="11"/>
      <c r="T162" s="10" t="s">
        <v>23</v>
      </c>
      <c r="U162" s="10"/>
      <c r="V162" s="10"/>
      <c r="W162" s="10"/>
      <c r="X162" s="10" t="s">
        <v>24</v>
      </c>
      <c r="Y162" s="10"/>
      <c r="Z162" s="10"/>
      <c r="AA162" s="10"/>
      <c r="AB162" s="10" t="s">
        <v>22</v>
      </c>
      <c r="AC162" s="10"/>
      <c r="AD162" s="10"/>
      <c r="AE162" s="10"/>
      <c r="AF162" s="10" t="s">
        <v>23</v>
      </c>
      <c r="AG162" s="10"/>
      <c r="AH162" s="10"/>
      <c r="AI162" s="10"/>
      <c r="AJ162" s="10" t="s">
        <v>24</v>
      </c>
      <c r="AK162" s="10"/>
      <c r="AL162" s="10"/>
      <c r="AM162" s="10"/>
      <c r="AN162" s="7" t="s">
        <v>22</v>
      </c>
      <c r="AO162" s="7"/>
      <c r="AP162" s="7"/>
      <c r="AQ162" s="7"/>
      <c r="AR162" s="7" t="s">
        <v>23</v>
      </c>
      <c r="AS162" s="7"/>
      <c r="AT162" s="7"/>
      <c r="AU162" s="7"/>
      <c r="AV162" s="7" t="s">
        <v>24</v>
      </c>
      <c r="AW162" s="7"/>
      <c r="AX162" s="7"/>
      <c r="AY162" s="7"/>
      <c r="AZ162" s="7" t="s">
        <v>22</v>
      </c>
      <c r="BA162" s="7"/>
      <c r="BB162" s="7"/>
      <c r="BC162" s="7"/>
      <c r="BD162" s="7" t="s">
        <v>23</v>
      </c>
      <c r="BE162" s="7"/>
      <c r="BF162" s="7"/>
      <c r="BG162" s="7"/>
      <c r="BH162" s="7" t="s">
        <v>24</v>
      </c>
      <c r="BI162" s="7"/>
      <c r="BJ162" s="7"/>
      <c r="BK162" s="7"/>
      <c r="BL162" s="7" t="s">
        <v>26</v>
      </c>
      <c r="BM162" s="7"/>
      <c r="BN162" s="7"/>
      <c r="BO162" s="7"/>
      <c r="BP162" s="7" t="s">
        <v>27</v>
      </c>
      <c r="BQ162" s="7"/>
      <c r="BR162" s="7"/>
      <c r="BS162" s="7" t="s">
        <v>28</v>
      </c>
      <c r="BT162" s="7"/>
      <c r="BU162" s="7"/>
    </row>
    <row r="163" customFormat="false" ht="27" hidden="false" customHeight="true" outlineLevel="0" collapsed="false">
      <c r="A163" s="7"/>
      <c r="B163" s="8"/>
      <c r="C163" s="8"/>
      <c r="D163" s="9"/>
      <c r="E163" s="9"/>
      <c r="F163" s="9"/>
      <c r="G163" s="9"/>
      <c r="H163" s="7" t="s">
        <v>29</v>
      </c>
      <c r="I163" s="7" t="s">
        <v>30</v>
      </c>
      <c r="J163" s="7" t="s">
        <v>29</v>
      </c>
      <c r="K163" s="7" t="s">
        <v>30</v>
      </c>
      <c r="L163" s="7" t="s">
        <v>29</v>
      </c>
      <c r="M163" s="7" t="s">
        <v>30</v>
      </c>
      <c r="N163" s="12"/>
      <c r="O163" s="8"/>
      <c r="P163" s="11" t="s">
        <v>29</v>
      </c>
      <c r="Q163" s="11"/>
      <c r="R163" s="10" t="s">
        <v>30</v>
      </c>
      <c r="S163" s="10"/>
      <c r="T163" s="10" t="s">
        <v>29</v>
      </c>
      <c r="U163" s="10"/>
      <c r="V163" s="10" t="s">
        <v>30</v>
      </c>
      <c r="W163" s="10"/>
      <c r="X163" s="10" t="s">
        <v>29</v>
      </c>
      <c r="Y163" s="10"/>
      <c r="Z163" s="10" t="s">
        <v>30</v>
      </c>
      <c r="AA163" s="10"/>
      <c r="AB163" s="10" t="s">
        <v>29</v>
      </c>
      <c r="AC163" s="10"/>
      <c r="AD163" s="10" t="s">
        <v>30</v>
      </c>
      <c r="AE163" s="10"/>
      <c r="AF163" s="10" t="s">
        <v>29</v>
      </c>
      <c r="AG163" s="10"/>
      <c r="AH163" s="10" t="s">
        <v>30</v>
      </c>
      <c r="AI163" s="10"/>
      <c r="AJ163" s="10" t="s">
        <v>29</v>
      </c>
      <c r="AK163" s="10"/>
      <c r="AL163" s="10" t="s">
        <v>30</v>
      </c>
      <c r="AM163" s="10"/>
      <c r="AN163" s="13" t="s">
        <v>29</v>
      </c>
      <c r="AO163" s="13"/>
      <c r="AP163" s="13" t="s">
        <v>30</v>
      </c>
      <c r="AQ163" s="13"/>
      <c r="AR163" s="13" t="s">
        <v>29</v>
      </c>
      <c r="AS163" s="13"/>
      <c r="AT163" s="13" t="s">
        <v>30</v>
      </c>
      <c r="AU163" s="13"/>
      <c r="AV163" s="13" t="s">
        <v>29</v>
      </c>
      <c r="AW163" s="13"/>
      <c r="AX163" s="13" t="s">
        <v>30</v>
      </c>
      <c r="AY163" s="13"/>
      <c r="AZ163" s="14" t="s">
        <v>29</v>
      </c>
      <c r="BA163" s="14"/>
      <c r="BB163" s="14" t="s">
        <v>30</v>
      </c>
      <c r="BC163" s="14"/>
      <c r="BD163" s="14" t="s">
        <v>29</v>
      </c>
      <c r="BE163" s="14"/>
      <c r="BF163" s="14" t="s">
        <v>30</v>
      </c>
      <c r="BG163" s="14"/>
      <c r="BH163" s="14" t="s">
        <v>29</v>
      </c>
      <c r="BI163" s="14"/>
      <c r="BJ163" s="14" t="s">
        <v>30</v>
      </c>
      <c r="BK163" s="14"/>
      <c r="BL163" s="15" t="s">
        <v>29</v>
      </c>
      <c r="BM163" s="15" t="s">
        <v>30</v>
      </c>
      <c r="BN163" s="15" t="s">
        <v>31</v>
      </c>
      <c r="BO163" s="15" t="s">
        <v>32</v>
      </c>
      <c r="BP163" s="7" t="s">
        <v>33</v>
      </c>
      <c r="BQ163" s="7" t="s">
        <v>34</v>
      </c>
      <c r="BR163" s="7" t="s">
        <v>35</v>
      </c>
      <c r="BS163" s="7" t="s">
        <v>33</v>
      </c>
      <c r="BT163" s="7" t="s">
        <v>34</v>
      </c>
      <c r="BU163" s="7" t="s">
        <v>35</v>
      </c>
    </row>
    <row r="164" customFormat="false" ht="85.5" hidden="false" customHeight="true" outlineLevel="0" collapsed="false">
      <c r="A164" s="7"/>
      <c r="B164" s="8"/>
      <c r="C164" s="8"/>
      <c r="D164" s="9"/>
      <c r="E164" s="9"/>
      <c r="F164" s="9"/>
      <c r="G164" s="9"/>
      <c r="H164" s="7"/>
      <c r="I164" s="7"/>
      <c r="J164" s="7"/>
      <c r="K164" s="7"/>
      <c r="L164" s="7"/>
      <c r="M164" s="7"/>
      <c r="N164" s="12"/>
      <c r="O164" s="8"/>
      <c r="P164" s="16" t="s">
        <v>36</v>
      </c>
      <c r="Q164" s="17" t="s">
        <v>37</v>
      </c>
      <c r="R164" s="17" t="s">
        <v>36</v>
      </c>
      <c r="S164" s="17" t="s">
        <v>37</v>
      </c>
      <c r="T164" s="17" t="s">
        <v>36</v>
      </c>
      <c r="U164" s="17" t="s">
        <v>37</v>
      </c>
      <c r="V164" s="17" t="s">
        <v>36</v>
      </c>
      <c r="W164" s="17" t="s">
        <v>37</v>
      </c>
      <c r="X164" s="17" t="s">
        <v>36</v>
      </c>
      <c r="Y164" s="17" t="s">
        <v>37</v>
      </c>
      <c r="Z164" s="17" t="s">
        <v>36</v>
      </c>
      <c r="AA164" s="17" t="s">
        <v>37</v>
      </c>
      <c r="AB164" s="17" t="s">
        <v>36</v>
      </c>
      <c r="AC164" s="17" t="s">
        <v>37</v>
      </c>
      <c r="AD164" s="17" t="s">
        <v>36</v>
      </c>
      <c r="AE164" s="17" t="s">
        <v>37</v>
      </c>
      <c r="AF164" s="17" t="s">
        <v>36</v>
      </c>
      <c r="AG164" s="17" t="s">
        <v>37</v>
      </c>
      <c r="AH164" s="17" t="s">
        <v>36</v>
      </c>
      <c r="AI164" s="17" t="s">
        <v>37</v>
      </c>
      <c r="AJ164" s="17" t="s">
        <v>36</v>
      </c>
      <c r="AK164" s="17" t="s">
        <v>37</v>
      </c>
      <c r="AL164" s="17" t="s">
        <v>36</v>
      </c>
      <c r="AM164" s="17" t="s">
        <v>37</v>
      </c>
      <c r="AN164" s="18" t="s">
        <v>38</v>
      </c>
      <c r="AO164" s="18" t="s">
        <v>39</v>
      </c>
      <c r="AP164" s="18" t="s">
        <v>38</v>
      </c>
      <c r="AQ164" s="18" t="s">
        <v>39</v>
      </c>
      <c r="AR164" s="18" t="s">
        <v>38</v>
      </c>
      <c r="AS164" s="18" t="s">
        <v>39</v>
      </c>
      <c r="AT164" s="18" t="s">
        <v>38</v>
      </c>
      <c r="AU164" s="18" t="s">
        <v>39</v>
      </c>
      <c r="AV164" s="18" t="s">
        <v>38</v>
      </c>
      <c r="AW164" s="18" t="s">
        <v>39</v>
      </c>
      <c r="AX164" s="18" t="s">
        <v>38</v>
      </c>
      <c r="AY164" s="18" t="s">
        <v>39</v>
      </c>
      <c r="AZ164" s="19" t="s">
        <v>40</v>
      </c>
      <c r="BA164" s="20" t="s">
        <v>41</v>
      </c>
      <c r="BB164" s="19" t="s">
        <v>40</v>
      </c>
      <c r="BC164" s="20" t="s">
        <v>41</v>
      </c>
      <c r="BD164" s="19" t="s">
        <v>40</v>
      </c>
      <c r="BE164" s="20" t="s">
        <v>41</v>
      </c>
      <c r="BF164" s="19" t="s">
        <v>40</v>
      </c>
      <c r="BG164" s="20" t="s">
        <v>41</v>
      </c>
      <c r="BH164" s="19" t="s">
        <v>40</v>
      </c>
      <c r="BI164" s="20" t="s">
        <v>41</v>
      </c>
      <c r="BJ164" s="19" t="s">
        <v>40</v>
      </c>
      <c r="BK164" s="20" t="s">
        <v>41</v>
      </c>
      <c r="BL164" s="21" t="s">
        <v>41</v>
      </c>
      <c r="BM164" s="21" t="s">
        <v>41</v>
      </c>
      <c r="BN164" s="15"/>
      <c r="BO164" s="15"/>
      <c r="BP164" s="7"/>
      <c r="BQ164" s="7"/>
      <c r="BR164" s="7"/>
      <c r="BS164" s="7"/>
      <c r="BT164" s="7"/>
      <c r="BU164" s="7"/>
    </row>
    <row r="165" customFormat="false" ht="13.5" hidden="false" customHeight="true" outlineLevel="0" collapsed="false">
      <c r="A165" s="22" t="n">
        <v>1</v>
      </c>
      <c r="B165" s="23" t="n">
        <v>2</v>
      </c>
      <c r="C165" s="23" t="n">
        <f aca="false">+B165+1</f>
        <v>3</v>
      </c>
      <c r="D165" s="23" t="n">
        <v>4</v>
      </c>
      <c r="E165" s="23" t="n">
        <v>5</v>
      </c>
      <c r="F165" s="23" t="n">
        <v>6</v>
      </c>
      <c r="G165" s="23" t="n">
        <v>7</v>
      </c>
      <c r="H165" s="24" t="n">
        <v>8</v>
      </c>
      <c r="I165" s="24"/>
      <c r="J165" s="24"/>
      <c r="K165" s="24"/>
      <c r="L165" s="24"/>
      <c r="M165" s="24"/>
      <c r="N165" s="25" t="n">
        <v>9</v>
      </c>
      <c r="O165" s="24" t="n">
        <v>10</v>
      </c>
      <c r="P165" s="24" t="n">
        <v>11</v>
      </c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3" t="n">
        <v>12</v>
      </c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13" t="n">
        <v>13</v>
      </c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4" t="n">
        <v>14</v>
      </c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5" t="n">
        <v>15</v>
      </c>
      <c r="BM165" s="15"/>
      <c r="BN165" s="15"/>
      <c r="BO165" s="15"/>
      <c r="BP165" s="24" t="n">
        <v>16</v>
      </c>
      <c r="BQ165" s="24"/>
      <c r="BR165" s="24"/>
      <c r="BS165" s="24" t="n">
        <v>17</v>
      </c>
      <c r="BT165" s="24"/>
      <c r="BU165" s="24"/>
    </row>
    <row r="166" customFormat="false" ht="32.25" hidden="false" customHeight="true" outlineLevel="0" collapsed="false">
      <c r="A166" s="27" t="n">
        <v>1</v>
      </c>
      <c r="B166" s="28" t="s">
        <v>59</v>
      </c>
      <c r="C166" s="10" t="n">
        <v>3</v>
      </c>
      <c r="D166" s="10" t="n">
        <v>0</v>
      </c>
      <c r="E166" s="10" t="n">
        <v>3</v>
      </c>
      <c r="F166" s="10" t="n">
        <v>0</v>
      </c>
      <c r="G166" s="10" t="n">
        <v>0</v>
      </c>
      <c r="H166" s="29" t="n">
        <v>200</v>
      </c>
      <c r="I166" s="29" t="n">
        <v>243</v>
      </c>
      <c r="J166" s="30" t="n">
        <v>180</v>
      </c>
      <c r="K166" s="30" t="n">
        <v>209</v>
      </c>
      <c r="L166" s="30" t="n">
        <v>110</v>
      </c>
      <c r="M166" s="30" t="n">
        <v>117</v>
      </c>
      <c r="N166" s="31" t="n">
        <f aca="false">SUM(J166:M166)</f>
        <v>616</v>
      </c>
      <c r="O166" s="32" t="n">
        <v>0</v>
      </c>
      <c r="P166" s="33" t="n">
        <f aca="false">P144+Q144</f>
        <v>70</v>
      </c>
      <c r="Q166" s="33" t="n">
        <v>6</v>
      </c>
      <c r="R166" s="33" t="n">
        <f aca="false">R144+S144</f>
        <v>159</v>
      </c>
      <c r="S166" s="33" t="n">
        <v>10</v>
      </c>
      <c r="T166" s="33" t="n">
        <f aca="false">T144+U144</f>
        <v>64</v>
      </c>
      <c r="U166" s="34" t="n">
        <v>3</v>
      </c>
      <c r="V166" s="33" t="n">
        <f aca="false">V144+W144</f>
        <v>98</v>
      </c>
      <c r="W166" s="34" t="n">
        <v>4</v>
      </c>
      <c r="X166" s="33" t="n">
        <f aca="false">X144+Y144</f>
        <v>97</v>
      </c>
      <c r="Y166" s="34" t="n">
        <v>4</v>
      </c>
      <c r="Z166" s="33" t="n">
        <f aca="false">Z144+AA144</f>
        <v>75</v>
      </c>
      <c r="AA166" s="34" t="n">
        <v>5</v>
      </c>
      <c r="AB166" s="33" t="n">
        <f aca="false">AB144+AC144</f>
        <v>39</v>
      </c>
      <c r="AC166" s="33" t="n">
        <v>8</v>
      </c>
      <c r="AD166" s="33" t="n">
        <f aca="false">AD144+AE144</f>
        <v>67</v>
      </c>
      <c r="AE166" s="33" t="n">
        <v>14</v>
      </c>
      <c r="AF166" s="33" t="n">
        <f aca="false">AF144+AG144</f>
        <v>64</v>
      </c>
      <c r="AG166" s="34" t="n">
        <v>3</v>
      </c>
      <c r="AH166" s="33" t="n">
        <f aca="false">AH144+AI144</f>
        <v>71</v>
      </c>
      <c r="AI166" s="34" t="n">
        <v>5</v>
      </c>
      <c r="AJ166" s="33" t="n">
        <f aca="false">AJ144+AK144</f>
        <v>24</v>
      </c>
      <c r="AK166" s="34" t="n">
        <v>2</v>
      </c>
      <c r="AL166" s="33" t="n">
        <f aca="false">AL144+AM144</f>
        <v>32</v>
      </c>
      <c r="AM166" s="34" t="n">
        <v>2</v>
      </c>
      <c r="AN166" s="35" t="n">
        <f aca="false">P166+AB166</f>
        <v>109</v>
      </c>
      <c r="AO166" s="35" t="n">
        <f aca="false">Q166+AC166</f>
        <v>14</v>
      </c>
      <c r="AP166" s="35" t="n">
        <f aca="false">R166+AD166</f>
        <v>226</v>
      </c>
      <c r="AQ166" s="35" t="n">
        <f aca="false">S166+AE166</f>
        <v>24</v>
      </c>
      <c r="AR166" s="35" t="n">
        <f aca="false">T166+AF166</f>
        <v>128</v>
      </c>
      <c r="AS166" s="35" t="n">
        <f aca="false">U166+AG166</f>
        <v>6</v>
      </c>
      <c r="AT166" s="35" t="n">
        <f aca="false">V166+AH166</f>
        <v>169</v>
      </c>
      <c r="AU166" s="35" t="n">
        <f aca="false">W166+AI166</f>
        <v>9</v>
      </c>
      <c r="AV166" s="35" t="n">
        <f aca="false">X166+AJ166</f>
        <v>121</v>
      </c>
      <c r="AW166" s="35" t="n">
        <f aca="false">Y166+AK166</f>
        <v>6</v>
      </c>
      <c r="AX166" s="35" t="n">
        <f aca="false">Z166+AL166</f>
        <v>107</v>
      </c>
      <c r="AY166" s="35" t="n">
        <f aca="false">AA166+AM166</f>
        <v>7</v>
      </c>
      <c r="AZ166" s="36" t="n">
        <f aca="false">AO166</f>
        <v>14</v>
      </c>
      <c r="BA166" s="36" t="n">
        <f aca="false">SUM(AN166:AO166)</f>
        <v>123</v>
      </c>
      <c r="BB166" s="36" t="n">
        <f aca="false">S166+AE166</f>
        <v>24</v>
      </c>
      <c r="BC166" s="36" t="n">
        <f aca="false">SUM(AP166:AQ166)</f>
        <v>250</v>
      </c>
      <c r="BD166" s="36" t="n">
        <f aca="false">U166+AG166</f>
        <v>6</v>
      </c>
      <c r="BE166" s="36" t="n">
        <f aca="false">SUM(AR166:AS166)</f>
        <v>134</v>
      </c>
      <c r="BF166" s="36" t="n">
        <f aca="false">W166+AI166</f>
        <v>9</v>
      </c>
      <c r="BG166" s="36" t="n">
        <f aca="false">SUM(AT166:AU166)</f>
        <v>178</v>
      </c>
      <c r="BH166" s="36" t="n">
        <f aca="false">Y166+AK166</f>
        <v>6</v>
      </c>
      <c r="BI166" s="36" t="n">
        <f aca="false">SUM(AV166:AW166)</f>
        <v>127</v>
      </c>
      <c r="BJ166" s="36" t="n">
        <f aca="false">AA166+AM166</f>
        <v>7</v>
      </c>
      <c r="BK166" s="36" t="n">
        <f aca="false">SUM(AX166:AY166)</f>
        <v>114</v>
      </c>
      <c r="BL166" s="37" t="n">
        <f aca="false">BE166+BI166</f>
        <v>261</v>
      </c>
      <c r="BM166" s="37" t="n">
        <f aca="false">BG166+BK166</f>
        <v>292</v>
      </c>
      <c r="BN166" s="38" t="n">
        <f aca="false">BL166+BM166</f>
        <v>553</v>
      </c>
      <c r="BO166" s="39" t="n">
        <f aca="false">BN166/N166*100</f>
        <v>89.7727272727273</v>
      </c>
      <c r="BP166" s="10" t="n">
        <v>32</v>
      </c>
      <c r="BQ166" s="10" t="n">
        <v>0</v>
      </c>
      <c r="BR166" s="10" t="n">
        <v>0</v>
      </c>
      <c r="BS166" s="10" t="n">
        <v>21</v>
      </c>
      <c r="BT166" s="10" t="n">
        <v>0</v>
      </c>
      <c r="BU166" s="10" t="n">
        <v>0</v>
      </c>
    </row>
    <row r="167" customFormat="false" ht="32.25" hidden="false" customHeight="true" outlineLevel="0" collapsed="false">
      <c r="A167" s="27" t="n">
        <v>2</v>
      </c>
      <c r="B167" s="28" t="s">
        <v>60</v>
      </c>
      <c r="C167" s="10" t="n">
        <v>3</v>
      </c>
      <c r="D167" s="10" t="n">
        <v>0</v>
      </c>
      <c r="E167" s="10" t="n">
        <v>3</v>
      </c>
      <c r="F167" s="10" t="n">
        <v>0</v>
      </c>
      <c r="G167" s="10" t="n">
        <v>0</v>
      </c>
      <c r="H167" s="29" t="n">
        <v>385</v>
      </c>
      <c r="I167" s="29" t="n">
        <v>393</v>
      </c>
      <c r="J167" s="30" t="n">
        <v>165</v>
      </c>
      <c r="K167" s="30" t="n">
        <v>177</v>
      </c>
      <c r="L167" s="30" t="n">
        <v>95</v>
      </c>
      <c r="M167" s="30" t="n">
        <v>104</v>
      </c>
      <c r="N167" s="31" t="n">
        <f aca="false">SUM(J167:M167)</f>
        <v>541</v>
      </c>
      <c r="O167" s="32" t="n">
        <v>0</v>
      </c>
      <c r="P167" s="33" t="n">
        <f aca="false">P145+Q145</f>
        <v>67</v>
      </c>
      <c r="Q167" s="33" t="n">
        <v>3</v>
      </c>
      <c r="R167" s="33" t="n">
        <f aca="false">R145+S145</f>
        <v>140</v>
      </c>
      <c r="S167" s="33" t="n">
        <v>14</v>
      </c>
      <c r="T167" s="33" t="n">
        <f aca="false">T145+U145</f>
        <v>68</v>
      </c>
      <c r="U167" s="34" t="n">
        <v>16</v>
      </c>
      <c r="V167" s="33" t="n">
        <f aca="false">V145+W145</f>
        <v>76</v>
      </c>
      <c r="W167" s="34" t="n">
        <v>14</v>
      </c>
      <c r="X167" s="33" t="n">
        <f aca="false">X145+Y145</f>
        <v>41</v>
      </c>
      <c r="Y167" s="34" t="n">
        <v>8</v>
      </c>
      <c r="Z167" s="33" t="n">
        <f aca="false">Z145+AA145</f>
        <v>53</v>
      </c>
      <c r="AA167" s="34" t="n">
        <v>9</v>
      </c>
      <c r="AB167" s="33" t="n">
        <f aca="false">AB145+AC145</f>
        <v>29</v>
      </c>
      <c r="AC167" s="33" t="n">
        <v>2</v>
      </c>
      <c r="AD167" s="33" t="n">
        <f aca="false">AD145+AE145</f>
        <v>44</v>
      </c>
      <c r="AE167" s="33" t="n">
        <v>3</v>
      </c>
      <c r="AF167" s="33" t="n">
        <f aca="false">AF145+AG145</f>
        <v>20</v>
      </c>
      <c r="AG167" s="34" t="n">
        <v>16</v>
      </c>
      <c r="AH167" s="33" t="n">
        <f aca="false">AH145+AI145</f>
        <v>29</v>
      </c>
      <c r="AI167" s="34" t="n">
        <v>12</v>
      </c>
      <c r="AJ167" s="33" t="n">
        <f aca="false">AJ145+AK145</f>
        <v>15</v>
      </c>
      <c r="AK167" s="34" t="n">
        <v>13</v>
      </c>
      <c r="AL167" s="33" t="n">
        <f aca="false">AL145+AM145</f>
        <v>22</v>
      </c>
      <c r="AM167" s="34" t="n">
        <v>10</v>
      </c>
      <c r="AN167" s="35" t="n">
        <f aca="false">P167+AB167</f>
        <v>96</v>
      </c>
      <c r="AO167" s="35" t="n">
        <f aca="false">Q167+AC167</f>
        <v>5</v>
      </c>
      <c r="AP167" s="35" t="n">
        <f aca="false">R167+AD167</f>
        <v>184</v>
      </c>
      <c r="AQ167" s="35" t="n">
        <f aca="false">S167+AE167</f>
        <v>17</v>
      </c>
      <c r="AR167" s="35" t="n">
        <f aca="false">T167+AF167</f>
        <v>88</v>
      </c>
      <c r="AS167" s="35" t="n">
        <f aca="false">U167+AG167</f>
        <v>32</v>
      </c>
      <c r="AT167" s="35" t="n">
        <f aca="false">V167+AH167</f>
        <v>105</v>
      </c>
      <c r="AU167" s="35" t="n">
        <f aca="false">W167+AI167</f>
        <v>26</v>
      </c>
      <c r="AV167" s="35" t="n">
        <f aca="false">X167+AJ167</f>
        <v>56</v>
      </c>
      <c r="AW167" s="35" t="n">
        <f aca="false">Y167+AK167</f>
        <v>21</v>
      </c>
      <c r="AX167" s="35" t="n">
        <f aca="false">Z167+AL167</f>
        <v>75</v>
      </c>
      <c r="AY167" s="35" t="n">
        <f aca="false">AA167+AM167</f>
        <v>19</v>
      </c>
      <c r="AZ167" s="36" t="n">
        <f aca="false">AO167</f>
        <v>5</v>
      </c>
      <c r="BA167" s="36" t="n">
        <f aca="false">SUM(AN167:AO167)</f>
        <v>101</v>
      </c>
      <c r="BB167" s="36" t="n">
        <f aca="false">S167+AE167</f>
        <v>17</v>
      </c>
      <c r="BC167" s="36" t="n">
        <f aca="false">SUM(AP167:AQ167)</f>
        <v>201</v>
      </c>
      <c r="BD167" s="36" t="n">
        <f aca="false">U167+AG167</f>
        <v>32</v>
      </c>
      <c r="BE167" s="36" t="n">
        <f aca="false">SUM(AR167:AS167)</f>
        <v>120</v>
      </c>
      <c r="BF167" s="36" t="n">
        <f aca="false">W167+AI167</f>
        <v>26</v>
      </c>
      <c r="BG167" s="36" t="n">
        <f aca="false">SUM(AT167:AU167)</f>
        <v>131</v>
      </c>
      <c r="BH167" s="36" t="n">
        <f aca="false">Y167+AK167</f>
        <v>21</v>
      </c>
      <c r="BI167" s="36" t="n">
        <f aca="false">SUM(AV167:AW167)</f>
        <v>77</v>
      </c>
      <c r="BJ167" s="36" t="n">
        <f aca="false">AA167+AM167</f>
        <v>19</v>
      </c>
      <c r="BK167" s="36" t="n">
        <f aca="false">SUM(AX167:AY167)</f>
        <v>94</v>
      </c>
      <c r="BL167" s="37" t="n">
        <f aca="false">BE167+BI167</f>
        <v>197</v>
      </c>
      <c r="BM167" s="37" t="n">
        <f aca="false">BG167+BK167</f>
        <v>225</v>
      </c>
      <c r="BN167" s="38" t="n">
        <f aca="false">BL167+BM167</f>
        <v>422</v>
      </c>
      <c r="BO167" s="39" t="n">
        <f aca="false">BN167/N167*100</f>
        <v>78.003696857671</v>
      </c>
      <c r="BP167" s="10" t="n">
        <v>30</v>
      </c>
      <c r="BQ167" s="10" t="n">
        <v>0</v>
      </c>
      <c r="BR167" s="10" t="n">
        <v>0</v>
      </c>
      <c r="BS167" s="10" t="n">
        <v>21</v>
      </c>
      <c r="BT167" s="10" t="n">
        <v>0</v>
      </c>
      <c r="BU167" s="10" t="n">
        <v>0</v>
      </c>
    </row>
    <row r="168" customFormat="false" ht="32.25" hidden="false" customHeight="true" outlineLevel="0" collapsed="false">
      <c r="A168" s="27" t="n">
        <v>3</v>
      </c>
      <c r="B168" s="28" t="s">
        <v>61</v>
      </c>
      <c r="C168" s="10" t="n">
        <v>2</v>
      </c>
      <c r="D168" s="10" t="n">
        <v>0</v>
      </c>
      <c r="E168" s="10" t="n">
        <v>2</v>
      </c>
      <c r="F168" s="10" t="n">
        <v>0</v>
      </c>
      <c r="G168" s="10" t="n">
        <v>0</v>
      </c>
      <c r="H168" s="29" t="n">
        <v>178</v>
      </c>
      <c r="I168" s="29" t="n">
        <v>178</v>
      </c>
      <c r="J168" s="30" t="n">
        <v>70</v>
      </c>
      <c r="K168" s="30" t="n">
        <v>87</v>
      </c>
      <c r="L168" s="30" t="n">
        <v>45</v>
      </c>
      <c r="M168" s="30" t="n">
        <v>46</v>
      </c>
      <c r="N168" s="31" t="n">
        <f aca="false">SUM(J168:M168)</f>
        <v>248</v>
      </c>
      <c r="O168" s="32" t="n">
        <v>0</v>
      </c>
      <c r="P168" s="33" t="n">
        <f aca="false">P146+Q146</f>
        <v>27</v>
      </c>
      <c r="Q168" s="33" t="n">
        <v>6</v>
      </c>
      <c r="R168" s="33" t="n">
        <f aca="false">R146+S146</f>
        <v>54</v>
      </c>
      <c r="S168" s="33" t="n">
        <v>10</v>
      </c>
      <c r="T168" s="33" t="n">
        <f aca="false">T146+U146</f>
        <v>27</v>
      </c>
      <c r="U168" s="34" t="n">
        <v>4</v>
      </c>
      <c r="V168" s="33" t="n">
        <f aca="false">V146+W146</f>
        <v>28</v>
      </c>
      <c r="W168" s="34" t="n">
        <v>4</v>
      </c>
      <c r="X168" s="33" t="n">
        <f aca="false">X146+Y146</f>
        <v>11</v>
      </c>
      <c r="Y168" s="34" t="n">
        <v>4</v>
      </c>
      <c r="Z168" s="33" t="n">
        <f aca="false">Z146+AA146</f>
        <v>16</v>
      </c>
      <c r="AA168" s="34" t="n">
        <v>5</v>
      </c>
      <c r="AB168" s="33" t="n">
        <f aca="false">AB146+AC146</f>
        <v>8</v>
      </c>
      <c r="AC168" s="33" t="n">
        <v>10</v>
      </c>
      <c r="AD168" s="33" t="n">
        <f aca="false">AD146+AE146</f>
        <v>12</v>
      </c>
      <c r="AE168" s="33" t="n">
        <v>10</v>
      </c>
      <c r="AF168" s="33" t="n">
        <f aca="false">AF146+AG146</f>
        <v>5</v>
      </c>
      <c r="AG168" s="34" t="n">
        <v>8</v>
      </c>
      <c r="AH168" s="33" t="n">
        <f aca="false">AH146+AI146</f>
        <v>19</v>
      </c>
      <c r="AI168" s="34" t="n">
        <v>8</v>
      </c>
      <c r="AJ168" s="33" t="n">
        <f aca="false">AJ146+AK146</f>
        <v>3</v>
      </c>
      <c r="AK168" s="34" t="n">
        <v>5</v>
      </c>
      <c r="AL168" s="33" t="n">
        <f aca="false">AL146+AM146</f>
        <v>8</v>
      </c>
      <c r="AM168" s="34" t="n">
        <v>6</v>
      </c>
      <c r="AN168" s="35" t="n">
        <f aca="false">P168+AB168</f>
        <v>35</v>
      </c>
      <c r="AO168" s="35" t="n">
        <f aca="false">Q168+AC168</f>
        <v>16</v>
      </c>
      <c r="AP168" s="35" t="n">
        <f aca="false">R168+AD168</f>
        <v>66</v>
      </c>
      <c r="AQ168" s="35" t="n">
        <f aca="false">S168+AE168</f>
        <v>20</v>
      </c>
      <c r="AR168" s="35" t="n">
        <f aca="false">T168+AF168</f>
        <v>32</v>
      </c>
      <c r="AS168" s="35" t="n">
        <f aca="false">U168+AG168</f>
        <v>12</v>
      </c>
      <c r="AT168" s="35" t="n">
        <f aca="false">V168+AH168</f>
        <v>47</v>
      </c>
      <c r="AU168" s="35" t="n">
        <f aca="false">W168+AI168</f>
        <v>12</v>
      </c>
      <c r="AV168" s="35" t="n">
        <f aca="false">X168+AJ168</f>
        <v>14</v>
      </c>
      <c r="AW168" s="35" t="n">
        <f aca="false">Y168+AK168</f>
        <v>9</v>
      </c>
      <c r="AX168" s="35" t="n">
        <f aca="false">Z168+AL168</f>
        <v>24</v>
      </c>
      <c r="AY168" s="35" t="n">
        <f aca="false">AA168+AM168</f>
        <v>11</v>
      </c>
      <c r="AZ168" s="36" t="n">
        <f aca="false">AO168</f>
        <v>16</v>
      </c>
      <c r="BA168" s="36" t="n">
        <f aca="false">SUM(AN168:AO168)</f>
        <v>51</v>
      </c>
      <c r="BB168" s="36" t="n">
        <f aca="false">S168+AE168</f>
        <v>20</v>
      </c>
      <c r="BC168" s="36" t="n">
        <f aca="false">SUM(AP168:AQ168)</f>
        <v>86</v>
      </c>
      <c r="BD168" s="36" t="n">
        <f aca="false">U168+AG168</f>
        <v>12</v>
      </c>
      <c r="BE168" s="36" t="n">
        <f aca="false">SUM(AR168:AS168)</f>
        <v>44</v>
      </c>
      <c r="BF168" s="36" t="n">
        <f aca="false">W168+AI168</f>
        <v>12</v>
      </c>
      <c r="BG168" s="36" t="n">
        <f aca="false">SUM(AT168:AU168)</f>
        <v>59</v>
      </c>
      <c r="BH168" s="36" t="n">
        <f aca="false">Y168+AK168</f>
        <v>9</v>
      </c>
      <c r="BI168" s="36" t="n">
        <f aca="false">SUM(AV168:AW168)</f>
        <v>23</v>
      </c>
      <c r="BJ168" s="36" t="n">
        <f aca="false">AA168+AM168</f>
        <v>11</v>
      </c>
      <c r="BK168" s="36" t="n">
        <f aca="false">SUM(AX168:AY168)</f>
        <v>35</v>
      </c>
      <c r="BL168" s="37" t="n">
        <f aca="false">BE168+BI168</f>
        <v>67</v>
      </c>
      <c r="BM168" s="37" t="n">
        <f aca="false">BG168+BK168</f>
        <v>94</v>
      </c>
      <c r="BN168" s="38" t="n">
        <f aca="false">BL168+BM168</f>
        <v>161</v>
      </c>
      <c r="BO168" s="39" t="n">
        <f aca="false">BN168/N168*100</f>
        <v>64.9193548387097</v>
      </c>
      <c r="BP168" s="10" t="n">
        <v>1</v>
      </c>
      <c r="BQ168" s="10" t="n">
        <v>0</v>
      </c>
      <c r="BR168" s="10" t="n">
        <v>0</v>
      </c>
      <c r="BS168" s="10" t="n">
        <v>0</v>
      </c>
      <c r="BT168" s="10" t="n">
        <v>0</v>
      </c>
      <c r="BU168" s="10" t="n">
        <v>0</v>
      </c>
    </row>
    <row r="169" customFormat="false" ht="32.25" hidden="false" customHeight="true" outlineLevel="0" collapsed="false">
      <c r="A169" s="27" t="n">
        <v>4</v>
      </c>
      <c r="B169" s="28" t="s">
        <v>45</v>
      </c>
      <c r="C169" s="10" t="n">
        <v>2</v>
      </c>
      <c r="D169" s="10" t="n">
        <v>0</v>
      </c>
      <c r="E169" s="10" t="n">
        <v>2</v>
      </c>
      <c r="F169" s="10" t="n">
        <v>0</v>
      </c>
      <c r="G169" s="10" t="n">
        <v>0</v>
      </c>
      <c r="H169" s="29" t="n">
        <v>245</v>
      </c>
      <c r="I169" s="29" t="n">
        <v>248</v>
      </c>
      <c r="J169" s="30" t="n">
        <v>100</v>
      </c>
      <c r="K169" s="30" t="n">
        <v>117</v>
      </c>
      <c r="L169" s="30" t="n">
        <v>60</v>
      </c>
      <c r="M169" s="30" t="n">
        <v>66</v>
      </c>
      <c r="N169" s="31" t="n">
        <f aca="false">SUM(J169:M169)</f>
        <v>343</v>
      </c>
      <c r="O169" s="32" t="n">
        <v>0</v>
      </c>
      <c r="P169" s="33" t="n">
        <f aca="false">P147+Q147</f>
        <v>36</v>
      </c>
      <c r="Q169" s="42" t="n">
        <v>3</v>
      </c>
      <c r="R169" s="33" t="n">
        <f aca="false">R147+S147</f>
        <v>64</v>
      </c>
      <c r="S169" s="33" t="n">
        <v>8</v>
      </c>
      <c r="T169" s="33" t="n">
        <f aca="false">T147+U147</f>
        <v>25</v>
      </c>
      <c r="U169" s="34" t="n">
        <v>1</v>
      </c>
      <c r="V169" s="33" t="n">
        <f aca="false">V147+W147</f>
        <v>62</v>
      </c>
      <c r="W169" s="34" t="n">
        <v>1</v>
      </c>
      <c r="X169" s="33" t="n">
        <f aca="false">X147+Y147</f>
        <v>24</v>
      </c>
      <c r="Y169" s="34" t="n">
        <v>1</v>
      </c>
      <c r="Z169" s="33" t="n">
        <f aca="false">Z147+AA147</f>
        <v>30</v>
      </c>
      <c r="AA169" s="34" t="n">
        <v>0</v>
      </c>
      <c r="AB169" s="33" t="n">
        <f aca="false">AB147+AC147</f>
        <v>51</v>
      </c>
      <c r="AC169" s="43" t="n">
        <v>6</v>
      </c>
      <c r="AD169" s="33" t="n">
        <f aca="false">AD147+AE147</f>
        <v>50</v>
      </c>
      <c r="AE169" s="33" t="n">
        <v>8</v>
      </c>
      <c r="AF169" s="33" t="n">
        <f aca="false">AF147+AG147</f>
        <v>39</v>
      </c>
      <c r="AG169" s="34" t="n">
        <v>1</v>
      </c>
      <c r="AH169" s="33" t="n">
        <f aca="false">AH147+AI147</f>
        <v>50</v>
      </c>
      <c r="AI169" s="34" t="n">
        <v>1</v>
      </c>
      <c r="AJ169" s="33" t="n">
        <f aca="false">AJ147+AK147</f>
        <v>38</v>
      </c>
      <c r="AK169" s="34" t="n">
        <v>1</v>
      </c>
      <c r="AL169" s="33" t="n">
        <f aca="false">AL147+AM147</f>
        <v>45</v>
      </c>
      <c r="AM169" s="34" t="n">
        <v>0</v>
      </c>
      <c r="AN169" s="35" t="n">
        <f aca="false">P169+AB169</f>
        <v>87</v>
      </c>
      <c r="AO169" s="35" t="n">
        <f aca="false">Q169+AC169</f>
        <v>9</v>
      </c>
      <c r="AP169" s="35" t="n">
        <f aca="false">R169+AD169</f>
        <v>114</v>
      </c>
      <c r="AQ169" s="35" t="n">
        <f aca="false">S169+AE169</f>
        <v>16</v>
      </c>
      <c r="AR169" s="35" t="n">
        <f aca="false">T169+AF169</f>
        <v>64</v>
      </c>
      <c r="AS169" s="35" t="n">
        <f aca="false">U169+AG169</f>
        <v>2</v>
      </c>
      <c r="AT169" s="35" t="n">
        <f aca="false">V169+AH169</f>
        <v>112</v>
      </c>
      <c r="AU169" s="35" t="n">
        <f aca="false">W169+AI169</f>
        <v>2</v>
      </c>
      <c r="AV169" s="35" t="n">
        <f aca="false">X169+AJ169</f>
        <v>62</v>
      </c>
      <c r="AW169" s="35" t="n">
        <f aca="false">Y169+AK169</f>
        <v>2</v>
      </c>
      <c r="AX169" s="35" t="n">
        <f aca="false">Z169+AL169</f>
        <v>75</v>
      </c>
      <c r="AY169" s="35" t="n">
        <f aca="false">AA169+AM169</f>
        <v>0</v>
      </c>
      <c r="AZ169" s="36" t="n">
        <f aca="false">AO169</f>
        <v>9</v>
      </c>
      <c r="BA169" s="36" t="n">
        <f aca="false">SUM(AN169:AO169)</f>
        <v>96</v>
      </c>
      <c r="BB169" s="36" t="n">
        <f aca="false">S169+AE169</f>
        <v>16</v>
      </c>
      <c r="BC169" s="36" t="n">
        <f aca="false">SUM(AP169:AQ169)</f>
        <v>130</v>
      </c>
      <c r="BD169" s="36" t="n">
        <f aca="false">U169+AG169</f>
        <v>2</v>
      </c>
      <c r="BE169" s="36" t="n">
        <f aca="false">SUM(AR169:AS169)</f>
        <v>66</v>
      </c>
      <c r="BF169" s="36" t="n">
        <f aca="false">W169+AI169</f>
        <v>2</v>
      </c>
      <c r="BG169" s="36" t="n">
        <f aca="false">SUM(AT169:AU169)</f>
        <v>114</v>
      </c>
      <c r="BH169" s="36" t="n">
        <f aca="false">Y169+AK169</f>
        <v>2</v>
      </c>
      <c r="BI169" s="36" t="n">
        <f aca="false">SUM(AV169:AW169)</f>
        <v>64</v>
      </c>
      <c r="BJ169" s="36" t="n">
        <f aca="false">AA169+AM169</f>
        <v>0</v>
      </c>
      <c r="BK169" s="36" t="n">
        <f aca="false">SUM(AX169:AY169)</f>
        <v>75</v>
      </c>
      <c r="BL169" s="37" t="n">
        <f aca="false">BE169+BI169</f>
        <v>130</v>
      </c>
      <c r="BM169" s="37" t="n">
        <f aca="false">BG169+BK169</f>
        <v>189</v>
      </c>
      <c r="BN169" s="38" t="n">
        <f aca="false">BL169+BM169</f>
        <v>319</v>
      </c>
      <c r="BO169" s="39" t="n">
        <f aca="false">BN169/N169*100</f>
        <v>93.002915451895</v>
      </c>
      <c r="BP169" s="10" t="n">
        <v>28</v>
      </c>
      <c r="BQ169" s="10" t="n">
        <v>0</v>
      </c>
      <c r="BR169" s="10" t="n">
        <v>0</v>
      </c>
      <c r="BS169" s="10" t="n">
        <v>17</v>
      </c>
      <c r="BT169" s="10" t="n">
        <v>0</v>
      </c>
      <c r="BU169" s="10" t="n">
        <v>0</v>
      </c>
    </row>
    <row r="170" customFormat="false" ht="32.25" hidden="false" customHeight="true" outlineLevel="0" collapsed="false">
      <c r="A170" s="27" t="n">
        <v>5</v>
      </c>
      <c r="B170" s="28" t="s">
        <v>46</v>
      </c>
      <c r="C170" s="10" t="n">
        <v>2</v>
      </c>
      <c r="D170" s="10" t="n">
        <v>0</v>
      </c>
      <c r="E170" s="10" t="n">
        <v>2</v>
      </c>
      <c r="F170" s="10" t="n">
        <v>0</v>
      </c>
      <c r="G170" s="10" t="n">
        <v>0</v>
      </c>
      <c r="H170" s="29" t="n">
        <v>238</v>
      </c>
      <c r="I170" s="29" t="n">
        <v>239</v>
      </c>
      <c r="J170" s="30" t="n">
        <v>95</v>
      </c>
      <c r="K170" s="30" t="n">
        <v>114</v>
      </c>
      <c r="L170" s="30" t="n">
        <v>55</v>
      </c>
      <c r="M170" s="30" t="n">
        <v>67</v>
      </c>
      <c r="N170" s="31" t="n">
        <f aca="false">SUM(J170:M170)</f>
        <v>331</v>
      </c>
      <c r="O170" s="32" t="n">
        <v>0</v>
      </c>
      <c r="P170" s="33" t="n">
        <f aca="false">P148+Q148</f>
        <v>44</v>
      </c>
      <c r="Q170" s="43" t="n">
        <v>3</v>
      </c>
      <c r="R170" s="33" t="n">
        <f aca="false">R148+S148</f>
        <v>79</v>
      </c>
      <c r="S170" s="33" t="n">
        <v>4</v>
      </c>
      <c r="T170" s="33" t="n">
        <f aca="false">T148+U148</f>
        <v>61</v>
      </c>
      <c r="U170" s="34" t="n">
        <v>7</v>
      </c>
      <c r="V170" s="33" t="n">
        <f aca="false">V148+W148</f>
        <v>60</v>
      </c>
      <c r="W170" s="34" t="n">
        <v>5</v>
      </c>
      <c r="X170" s="33" t="n">
        <f aca="false">X148+Y148</f>
        <v>14</v>
      </c>
      <c r="Y170" s="34" t="n">
        <v>3</v>
      </c>
      <c r="Z170" s="33" t="n">
        <f aca="false">Z148+AA148</f>
        <v>23</v>
      </c>
      <c r="AA170" s="34" t="n">
        <v>4</v>
      </c>
      <c r="AB170" s="33" t="n">
        <f aca="false">AB148+AC148</f>
        <v>9</v>
      </c>
      <c r="AC170" s="43" t="n">
        <v>3</v>
      </c>
      <c r="AD170" s="33" t="n">
        <f aca="false">AD148+AE148</f>
        <v>37</v>
      </c>
      <c r="AE170" s="33" t="n">
        <v>3</v>
      </c>
      <c r="AF170" s="33" t="n">
        <f aca="false">AF148+AG148</f>
        <v>8</v>
      </c>
      <c r="AG170" s="34" t="n">
        <v>5</v>
      </c>
      <c r="AH170" s="33" t="n">
        <f aca="false">AH148+AI148</f>
        <v>31</v>
      </c>
      <c r="AI170" s="34" t="n">
        <v>4</v>
      </c>
      <c r="AJ170" s="33" t="n">
        <f aca="false">AJ148+AK148</f>
        <v>5</v>
      </c>
      <c r="AK170" s="34" t="n">
        <v>3</v>
      </c>
      <c r="AL170" s="33" t="n">
        <f aca="false">AL148+AM148</f>
        <v>8</v>
      </c>
      <c r="AM170" s="34" t="n">
        <v>1</v>
      </c>
      <c r="AN170" s="35" t="n">
        <f aca="false">P170+AB170</f>
        <v>53</v>
      </c>
      <c r="AO170" s="35" t="n">
        <f aca="false">Q170+AC170</f>
        <v>6</v>
      </c>
      <c r="AP170" s="35" t="n">
        <f aca="false">R170+AD170</f>
        <v>116</v>
      </c>
      <c r="AQ170" s="35" t="n">
        <f aca="false">S170+AE170</f>
        <v>7</v>
      </c>
      <c r="AR170" s="35" t="n">
        <f aca="false">T170+AF170</f>
        <v>69</v>
      </c>
      <c r="AS170" s="35" t="n">
        <f aca="false">U170+AG170</f>
        <v>12</v>
      </c>
      <c r="AT170" s="35" t="n">
        <f aca="false">V170+AH170</f>
        <v>91</v>
      </c>
      <c r="AU170" s="35" t="n">
        <f aca="false">W170+AI170</f>
        <v>9</v>
      </c>
      <c r="AV170" s="35" t="n">
        <f aca="false">X170+AJ170</f>
        <v>19</v>
      </c>
      <c r="AW170" s="35" t="n">
        <f aca="false">Y170+AK170</f>
        <v>6</v>
      </c>
      <c r="AX170" s="35" t="n">
        <f aca="false">Z170+AL170</f>
        <v>31</v>
      </c>
      <c r="AY170" s="35" t="n">
        <f aca="false">AA170+AM170</f>
        <v>5</v>
      </c>
      <c r="AZ170" s="36" t="n">
        <f aca="false">AO170</f>
        <v>6</v>
      </c>
      <c r="BA170" s="36" t="n">
        <f aca="false">SUM(AN170:AO170)</f>
        <v>59</v>
      </c>
      <c r="BB170" s="36" t="n">
        <f aca="false">S170+AE170</f>
        <v>7</v>
      </c>
      <c r="BC170" s="36" t="n">
        <f aca="false">SUM(AP170:AQ170)</f>
        <v>123</v>
      </c>
      <c r="BD170" s="36" t="n">
        <f aca="false">U170+AG170</f>
        <v>12</v>
      </c>
      <c r="BE170" s="36" t="n">
        <f aca="false">SUM(AR170:AS170)</f>
        <v>81</v>
      </c>
      <c r="BF170" s="36" t="n">
        <f aca="false">W170+AI170</f>
        <v>9</v>
      </c>
      <c r="BG170" s="36" t="n">
        <f aca="false">SUM(AT170:AU170)</f>
        <v>100</v>
      </c>
      <c r="BH170" s="36" t="n">
        <f aca="false">Y170+AK170</f>
        <v>6</v>
      </c>
      <c r="BI170" s="36" t="n">
        <f aca="false">SUM(AV170:AW170)</f>
        <v>25</v>
      </c>
      <c r="BJ170" s="36" t="n">
        <f aca="false">AA170+AM170</f>
        <v>5</v>
      </c>
      <c r="BK170" s="36" t="n">
        <f aca="false">SUM(AX170:AY170)</f>
        <v>36</v>
      </c>
      <c r="BL170" s="37" t="n">
        <f aca="false">BE170+BI170</f>
        <v>106</v>
      </c>
      <c r="BM170" s="37" t="n">
        <f aca="false">BG170+BK170</f>
        <v>136</v>
      </c>
      <c r="BN170" s="38" t="n">
        <f aca="false">BL170+BM170</f>
        <v>242</v>
      </c>
      <c r="BO170" s="39" t="n">
        <f aca="false">BN170/N170*100</f>
        <v>73.1117824773414</v>
      </c>
      <c r="BP170" s="10" t="n">
        <v>27</v>
      </c>
      <c r="BQ170" s="10" t="n">
        <v>0</v>
      </c>
      <c r="BR170" s="10" t="n">
        <v>0</v>
      </c>
      <c r="BS170" s="10" t="n">
        <v>5</v>
      </c>
      <c r="BT170" s="10" t="n">
        <v>0</v>
      </c>
      <c r="BU170" s="10" t="n">
        <v>0</v>
      </c>
    </row>
    <row r="171" customFormat="false" ht="32.25" hidden="false" customHeight="true" outlineLevel="0" collapsed="false">
      <c r="A171" s="27" t="n">
        <v>5</v>
      </c>
      <c r="B171" s="28" t="s">
        <v>47</v>
      </c>
      <c r="C171" s="10" t="n">
        <v>3</v>
      </c>
      <c r="D171" s="10" t="n">
        <v>0</v>
      </c>
      <c r="E171" s="10" t="n">
        <v>3</v>
      </c>
      <c r="F171" s="10" t="n">
        <v>0</v>
      </c>
      <c r="G171" s="10" t="n">
        <v>0</v>
      </c>
      <c r="H171" s="29" t="n">
        <v>302</v>
      </c>
      <c r="I171" s="29" t="n">
        <v>303</v>
      </c>
      <c r="J171" s="30" t="n">
        <v>155</v>
      </c>
      <c r="K171" s="30" t="n">
        <v>110</v>
      </c>
      <c r="L171" s="30" t="n">
        <v>75</v>
      </c>
      <c r="M171" s="30" t="n">
        <v>80</v>
      </c>
      <c r="N171" s="31" t="n">
        <f aca="false">SUM(J171:M171)</f>
        <v>420</v>
      </c>
      <c r="O171" s="32" t="n">
        <v>0</v>
      </c>
      <c r="P171" s="33" t="n">
        <f aca="false">P149+Q149</f>
        <v>59</v>
      </c>
      <c r="Q171" s="33" t="n">
        <v>6</v>
      </c>
      <c r="R171" s="33" t="n">
        <f aca="false">R149+S149</f>
        <v>72</v>
      </c>
      <c r="S171" s="33" t="n">
        <v>12</v>
      </c>
      <c r="T171" s="33" t="n">
        <f aca="false">T149+U149</f>
        <v>33</v>
      </c>
      <c r="U171" s="34" t="n">
        <v>10</v>
      </c>
      <c r="V171" s="33" t="n">
        <f aca="false">V149+W149</f>
        <v>26</v>
      </c>
      <c r="W171" s="34" t="n">
        <v>12</v>
      </c>
      <c r="X171" s="33" t="n">
        <f aca="false">X149+Y149</f>
        <v>17</v>
      </c>
      <c r="Y171" s="34" t="n">
        <v>9</v>
      </c>
      <c r="Z171" s="33" t="n">
        <f aca="false">Z149+AA149</f>
        <v>26</v>
      </c>
      <c r="AA171" s="34" t="n">
        <v>7</v>
      </c>
      <c r="AB171" s="33" t="n">
        <f aca="false">AB149+AC149</f>
        <v>23</v>
      </c>
      <c r="AC171" s="33" t="n">
        <v>2</v>
      </c>
      <c r="AD171" s="33" t="n">
        <f aca="false">AD149+AE149</f>
        <v>28</v>
      </c>
      <c r="AE171" s="33" t="n">
        <v>2</v>
      </c>
      <c r="AF171" s="33" t="n">
        <f aca="false">AF149+AG149</f>
        <v>16</v>
      </c>
      <c r="AG171" s="34" t="n">
        <v>11</v>
      </c>
      <c r="AH171" s="33" t="n">
        <f aca="false">AH149+AI149</f>
        <v>19</v>
      </c>
      <c r="AI171" s="34" t="n">
        <v>10</v>
      </c>
      <c r="AJ171" s="33" t="n">
        <f aca="false">AJ149+AK149</f>
        <v>12</v>
      </c>
      <c r="AK171" s="34" t="n">
        <v>8</v>
      </c>
      <c r="AL171" s="33" t="n">
        <f aca="false">AL149+AM149</f>
        <v>12</v>
      </c>
      <c r="AM171" s="34" t="n">
        <v>7</v>
      </c>
      <c r="AN171" s="35" t="n">
        <f aca="false">P171+AB171</f>
        <v>82</v>
      </c>
      <c r="AO171" s="35" t="n">
        <f aca="false">Q171+AC171</f>
        <v>8</v>
      </c>
      <c r="AP171" s="35" t="n">
        <f aca="false">R171+AD171</f>
        <v>100</v>
      </c>
      <c r="AQ171" s="35" t="n">
        <f aca="false">S171+AE171</f>
        <v>14</v>
      </c>
      <c r="AR171" s="35" t="n">
        <f aca="false">T171+AF171</f>
        <v>49</v>
      </c>
      <c r="AS171" s="35" t="n">
        <f aca="false">U171+AG171</f>
        <v>21</v>
      </c>
      <c r="AT171" s="35" t="n">
        <f aca="false">V171+AH171</f>
        <v>45</v>
      </c>
      <c r="AU171" s="35" t="n">
        <f aca="false">W171+AI171</f>
        <v>22</v>
      </c>
      <c r="AV171" s="35" t="n">
        <f aca="false">X171+AJ171</f>
        <v>29</v>
      </c>
      <c r="AW171" s="35" t="n">
        <f aca="false">Y171+AK171</f>
        <v>17</v>
      </c>
      <c r="AX171" s="35" t="n">
        <f aca="false">Z171+AL171</f>
        <v>38</v>
      </c>
      <c r="AY171" s="35" t="n">
        <f aca="false">AA171+AM171</f>
        <v>14</v>
      </c>
      <c r="AZ171" s="36" t="n">
        <f aca="false">AO171</f>
        <v>8</v>
      </c>
      <c r="BA171" s="36" t="n">
        <f aca="false">SUM(AN171:AO171)</f>
        <v>90</v>
      </c>
      <c r="BB171" s="36" t="n">
        <f aca="false">S171+AE171</f>
        <v>14</v>
      </c>
      <c r="BC171" s="36" t="n">
        <f aca="false">SUM(AP171:AQ171)</f>
        <v>114</v>
      </c>
      <c r="BD171" s="36" t="n">
        <f aca="false">U171+AG171</f>
        <v>21</v>
      </c>
      <c r="BE171" s="36" t="n">
        <f aca="false">SUM(AR171:AS171)</f>
        <v>70</v>
      </c>
      <c r="BF171" s="36" t="n">
        <f aca="false">W171+AI171</f>
        <v>22</v>
      </c>
      <c r="BG171" s="36" t="n">
        <f aca="false">SUM(AT171:AU171)</f>
        <v>67</v>
      </c>
      <c r="BH171" s="36" t="n">
        <f aca="false">Y171+AK171</f>
        <v>17</v>
      </c>
      <c r="BI171" s="36" t="n">
        <f aca="false">SUM(AV171:AW171)</f>
        <v>46</v>
      </c>
      <c r="BJ171" s="36" t="n">
        <f aca="false">AA171+AM171</f>
        <v>14</v>
      </c>
      <c r="BK171" s="36" t="n">
        <f aca="false">SUM(AX171:AY171)</f>
        <v>52</v>
      </c>
      <c r="BL171" s="37" t="n">
        <f aca="false">BE171+BI171</f>
        <v>116</v>
      </c>
      <c r="BM171" s="37" t="n">
        <f aca="false">BG171+BK171</f>
        <v>119</v>
      </c>
      <c r="BN171" s="38" t="n">
        <f aca="false">BL171+BM171</f>
        <v>235</v>
      </c>
      <c r="BO171" s="39" t="n">
        <f aca="false">BN171/N171*100</f>
        <v>55.952380952381</v>
      </c>
      <c r="BP171" s="10" t="n">
        <v>10</v>
      </c>
      <c r="BQ171" s="10" t="n">
        <v>1</v>
      </c>
      <c r="BR171" s="10" t="n">
        <v>0</v>
      </c>
      <c r="BS171" s="10" t="n">
        <v>6</v>
      </c>
      <c r="BT171" s="10" t="n">
        <v>0</v>
      </c>
      <c r="BU171" s="10" t="n">
        <v>0</v>
      </c>
    </row>
    <row r="172" customFormat="false" ht="36.75" hidden="false" customHeight="true" outlineLevel="0" collapsed="false">
      <c r="A172" s="15" t="s">
        <v>48</v>
      </c>
      <c r="B172" s="15"/>
      <c r="C172" s="21" t="n">
        <f aca="false">SUM(C166:C171)</f>
        <v>15</v>
      </c>
      <c r="D172" s="21" t="n">
        <f aca="false">SUM(D166:D171)</f>
        <v>0</v>
      </c>
      <c r="E172" s="21" t="n">
        <f aca="false">SUM(E166:E171)</f>
        <v>15</v>
      </c>
      <c r="F172" s="21" t="n">
        <f aca="false">SUM(F166:F171)</f>
        <v>0</v>
      </c>
      <c r="G172" s="21" t="n">
        <f aca="false">SUM(G166:G171)</f>
        <v>0</v>
      </c>
      <c r="H172" s="31" t="n">
        <f aca="false">SUM(H166:H171)</f>
        <v>1548</v>
      </c>
      <c r="I172" s="31" t="n">
        <f aca="false">SUM(I166:I171)</f>
        <v>1604</v>
      </c>
      <c r="J172" s="31" t="n">
        <f aca="false">SUM(J166:J171)</f>
        <v>765</v>
      </c>
      <c r="K172" s="31" t="n">
        <f aca="false">SUM(K166:K171)</f>
        <v>814</v>
      </c>
      <c r="L172" s="31" t="n">
        <f aca="false">SUM(L166:L171)</f>
        <v>440</v>
      </c>
      <c r="M172" s="31" t="n">
        <f aca="false">SUM(M166:M171)</f>
        <v>480</v>
      </c>
      <c r="N172" s="31" t="n">
        <f aca="false">SUM(J172:M172)</f>
        <v>2499</v>
      </c>
      <c r="O172" s="31" t="n">
        <v>1506</v>
      </c>
      <c r="P172" s="21" t="n">
        <f aca="false">SUM(P166:P171)</f>
        <v>303</v>
      </c>
      <c r="Q172" s="21" t="n">
        <f aca="false">SUM(Q166:Q171)</f>
        <v>27</v>
      </c>
      <c r="R172" s="21" t="n">
        <f aca="false">SUM(R166:R171)</f>
        <v>568</v>
      </c>
      <c r="S172" s="21" t="n">
        <f aca="false">SUM(S166:S171)</f>
        <v>58</v>
      </c>
      <c r="T172" s="21" t="n">
        <f aca="false">SUM(T166:T171)</f>
        <v>278</v>
      </c>
      <c r="U172" s="44" t="n">
        <f aca="false">SUM(U166:U171)</f>
        <v>41</v>
      </c>
      <c r="V172" s="44" t="n">
        <f aca="false">SUM(V166:V171)</f>
        <v>350</v>
      </c>
      <c r="W172" s="44" t="n">
        <f aca="false">SUM(W166:W171)</f>
        <v>40</v>
      </c>
      <c r="X172" s="44" t="n">
        <f aca="false">SUM(X166:X171)</f>
        <v>204</v>
      </c>
      <c r="Y172" s="44" t="n">
        <f aca="false">SUM(Y166:Y171)</f>
        <v>29</v>
      </c>
      <c r="Z172" s="44" t="n">
        <f aca="false">SUM(Z166:Z171)</f>
        <v>223</v>
      </c>
      <c r="AA172" s="44" t="n">
        <f aca="false">SUM(AA166:AA171)</f>
        <v>30</v>
      </c>
      <c r="AB172" s="21" t="n">
        <f aca="false">SUM(AB166:AB171)</f>
        <v>159</v>
      </c>
      <c r="AC172" s="21" t="n">
        <f aca="false">SUM(AC166:AC171)</f>
        <v>31</v>
      </c>
      <c r="AD172" s="21" t="n">
        <f aca="false">SUM(AD166:AD171)</f>
        <v>238</v>
      </c>
      <c r="AE172" s="21" t="n">
        <f aca="false">SUM(AE166:AE171)</f>
        <v>40</v>
      </c>
      <c r="AF172" s="44" t="n">
        <f aca="false">SUM(AF166:AF171)</f>
        <v>152</v>
      </c>
      <c r="AG172" s="44" t="n">
        <f aca="false">SUM(AG166:AG171)</f>
        <v>44</v>
      </c>
      <c r="AH172" s="44" t="n">
        <f aca="false">SUM(AH166:AH171)</f>
        <v>219</v>
      </c>
      <c r="AI172" s="44" t="n">
        <f aca="false">SUM(AI166:AI171)</f>
        <v>40</v>
      </c>
      <c r="AJ172" s="44" t="n">
        <f aca="false">SUM(AJ166:AJ171)</f>
        <v>97</v>
      </c>
      <c r="AK172" s="44" t="n">
        <f aca="false">SUM(AK166:AK171)</f>
        <v>32</v>
      </c>
      <c r="AL172" s="44" t="n">
        <f aca="false">SUM(AL166:AL171)</f>
        <v>127</v>
      </c>
      <c r="AM172" s="44" t="n">
        <f aca="false">SUM(AM166:AM171)</f>
        <v>26</v>
      </c>
      <c r="AN172" s="21" t="n">
        <f aca="false">SUM(AN166:AN171)</f>
        <v>462</v>
      </c>
      <c r="AO172" s="21" t="n">
        <f aca="false">SUM(AO166:AO171)</f>
        <v>58</v>
      </c>
      <c r="AP172" s="21" t="n">
        <f aca="false">SUM(AP166:AP171)</f>
        <v>806</v>
      </c>
      <c r="AQ172" s="21" t="n">
        <f aca="false">SUM(AQ166:AQ171)</f>
        <v>98</v>
      </c>
      <c r="AR172" s="44" t="n">
        <f aca="false">SUM(AR166:AR171)</f>
        <v>430</v>
      </c>
      <c r="AS172" s="44" t="n">
        <f aca="false">SUM(AS166:AS171)</f>
        <v>85</v>
      </c>
      <c r="AT172" s="44" t="n">
        <f aca="false">SUM(AT166:AT171)</f>
        <v>569</v>
      </c>
      <c r="AU172" s="44" t="n">
        <f aca="false">SUM(AU166:AU171)</f>
        <v>80</v>
      </c>
      <c r="AV172" s="44" t="n">
        <f aca="false">SUM(AV166:AV171)</f>
        <v>301</v>
      </c>
      <c r="AW172" s="44" t="n">
        <f aca="false">SUM(AW166:AW171)</f>
        <v>61</v>
      </c>
      <c r="AX172" s="44" t="n">
        <f aca="false">SUM(AX166:AX171)</f>
        <v>350</v>
      </c>
      <c r="AY172" s="44" t="n">
        <f aca="false">SUM(AY166:AY171)</f>
        <v>56</v>
      </c>
      <c r="AZ172" s="21" t="n">
        <f aca="false">SUM(AZ166:AZ171)</f>
        <v>58</v>
      </c>
      <c r="BA172" s="21" t="n">
        <f aca="false">SUM(BA166:BA171)</f>
        <v>520</v>
      </c>
      <c r="BB172" s="21" t="n">
        <f aca="false">SUM(BB166:BB171)</f>
        <v>98</v>
      </c>
      <c r="BC172" s="21" t="n">
        <f aca="false">SUM(BC166:BC171)</f>
        <v>904</v>
      </c>
      <c r="BD172" s="21" t="n">
        <f aca="false">SUM(BD166:BD171)</f>
        <v>85</v>
      </c>
      <c r="BE172" s="21" t="n">
        <f aca="false">SUM(BE166:BE171)</f>
        <v>515</v>
      </c>
      <c r="BF172" s="21" t="n">
        <f aca="false">SUM(BF166:BF171)</f>
        <v>80</v>
      </c>
      <c r="BG172" s="21" t="n">
        <f aca="false">SUM(BG166:BG171)</f>
        <v>649</v>
      </c>
      <c r="BH172" s="21" t="n">
        <f aca="false">SUM(BH166:BH171)</f>
        <v>61</v>
      </c>
      <c r="BI172" s="21" t="n">
        <f aca="false">SUM(BI166:BI171)</f>
        <v>362</v>
      </c>
      <c r="BJ172" s="21" t="n">
        <f aca="false">SUM(BJ166:BJ171)</f>
        <v>56</v>
      </c>
      <c r="BK172" s="21" t="n">
        <f aca="false">SUM(BK166:BK171)</f>
        <v>406</v>
      </c>
      <c r="BL172" s="21" t="n">
        <f aca="false">SUM(BL166:BL171)</f>
        <v>877</v>
      </c>
      <c r="BM172" s="21" t="n">
        <f aca="false">SUM(BM166:BM171)</f>
        <v>1055</v>
      </c>
      <c r="BN172" s="45" t="n">
        <f aca="false">SUM(BN166:BN171)</f>
        <v>1932</v>
      </c>
      <c r="BO172" s="45" t="n">
        <f aca="false">BN172/N172*100</f>
        <v>77.3109243697479</v>
      </c>
      <c r="BP172" s="21" t="n">
        <f aca="false">SUM(BP166:BP171)</f>
        <v>128</v>
      </c>
      <c r="BQ172" s="21" t="n">
        <f aca="false">SUM(BQ166:BQ171)</f>
        <v>1</v>
      </c>
      <c r="BR172" s="21" t="n">
        <f aca="false">SUM(BR166:BR171)</f>
        <v>0</v>
      </c>
      <c r="BS172" s="21" t="n">
        <f aca="false">SUM(BS166:BS171)</f>
        <v>70</v>
      </c>
      <c r="BT172" s="21" t="n">
        <f aca="false">SUM(BT166:BT171)</f>
        <v>0</v>
      </c>
      <c r="BU172" s="21" t="n">
        <f aca="false">SUM(BU166:BU171)</f>
        <v>0</v>
      </c>
    </row>
    <row r="173" customFormat="false" ht="15.75" hidden="false" customHeight="false" outlineLevel="0" collapsed="false">
      <c r="Q173" s="47"/>
      <c r="R173" s="47"/>
      <c r="S173" s="47"/>
      <c r="T173" s="54"/>
      <c r="U173" s="54" t="n">
        <f aca="false">BO166</f>
        <v>89.7727272727273</v>
      </c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</row>
    <row r="174" customFormat="false" ht="15.75" hidden="false" customHeight="false" outlineLevel="0" collapsed="false">
      <c r="Q174" s="47"/>
      <c r="R174" s="47"/>
      <c r="S174" s="47"/>
      <c r="T174" s="54"/>
      <c r="U174" s="54" t="n">
        <f aca="false">BO167</f>
        <v>78.003696857671</v>
      </c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</row>
    <row r="175" customFormat="false" ht="15.75" hidden="false" customHeight="false" outlineLevel="0" collapsed="false">
      <c r="Q175" s="47"/>
      <c r="R175" s="47"/>
      <c r="S175" s="47"/>
      <c r="T175" s="54"/>
      <c r="U175" s="54" t="n">
        <f aca="false">BO168</f>
        <v>64.9193548387097</v>
      </c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</row>
    <row r="176" customFormat="false" ht="15.75" hidden="false" customHeight="false" outlineLevel="0" collapsed="false">
      <c r="Q176" s="47"/>
      <c r="R176" s="47"/>
      <c r="S176" s="47"/>
      <c r="T176" s="54"/>
      <c r="U176" s="54" t="n">
        <f aca="false">BO169</f>
        <v>93.002915451895</v>
      </c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</row>
    <row r="177" customFormat="false" ht="15.75" hidden="false" customHeight="false" outlineLevel="0" collapsed="false">
      <c r="A177" s="2" t="s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54"/>
      <c r="U177" s="54" t="n">
        <f aca="false">BO170</f>
        <v>73.1117824773414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54"/>
      <c r="U178" s="54" t="n">
        <f aca="false">BO171</f>
        <v>55.952380952381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</row>
    <row r="179" customFormat="false" ht="15.75" hidden="false" customHeight="false" outlineLevel="0" collapsed="false">
      <c r="A179" s="3" t="s">
        <v>1</v>
      </c>
      <c r="B179" s="4"/>
      <c r="C179" s="4" t="s">
        <v>2</v>
      </c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54" t="n">
        <f aca="false">BN172</f>
        <v>1932</v>
      </c>
      <c r="U179" s="54" t="n">
        <f aca="false">BO172</f>
        <v>77.3109243697479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</row>
    <row r="180" customFormat="false" ht="15.75" hidden="false" customHeight="false" outlineLevel="0" collapsed="false">
      <c r="A180" s="3" t="s">
        <v>3</v>
      </c>
      <c r="B180" s="4"/>
      <c r="C180" s="4" t="s">
        <v>4</v>
      </c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</row>
    <row r="181" customFormat="false" ht="15.75" hidden="false" customHeight="false" outlineLevel="0" collapsed="false">
      <c r="A181" s="3" t="s">
        <v>5</v>
      </c>
      <c r="B181" s="4"/>
      <c r="C181" s="4" t="s">
        <v>62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</row>
    <row r="182" customFormat="false" ht="15.75" hidden="false" customHeight="false" outlineLevel="0" collapsed="false">
      <c r="A182" s="4"/>
      <c r="B182" s="4"/>
      <c r="C182" s="4"/>
      <c r="D182" s="4"/>
      <c r="E182" s="4"/>
      <c r="F182" s="4"/>
      <c r="G182" s="4"/>
      <c r="H182" s="5"/>
      <c r="I182" s="5"/>
      <c r="J182" s="5"/>
      <c r="K182" s="5"/>
      <c r="L182" s="5"/>
      <c r="M182" s="5"/>
      <c r="N182" s="5"/>
      <c r="O182" s="5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</row>
    <row r="183" customFormat="false" ht="33.75" hidden="false" customHeight="true" outlineLevel="0" collapsed="false">
      <c r="A183" s="7" t="s">
        <v>7</v>
      </c>
      <c r="B183" s="8" t="s">
        <v>8</v>
      </c>
      <c r="C183" s="8" t="s">
        <v>9</v>
      </c>
      <c r="D183" s="9" t="s">
        <v>10</v>
      </c>
      <c r="E183" s="9" t="s">
        <v>11</v>
      </c>
      <c r="F183" s="9" t="s">
        <v>12</v>
      </c>
      <c r="G183" s="9" t="s">
        <v>13</v>
      </c>
      <c r="H183" s="10" t="s">
        <v>14</v>
      </c>
      <c r="I183" s="10"/>
      <c r="J183" s="10"/>
      <c r="K183" s="10"/>
      <c r="L183" s="10"/>
      <c r="M183" s="11"/>
      <c r="N183" s="11"/>
      <c r="O183" s="8" t="s">
        <v>15</v>
      </c>
      <c r="P183" s="11" t="s">
        <v>16</v>
      </c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0" t="s">
        <v>17</v>
      </c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7" t="s">
        <v>18</v>
      </c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 t="s">
        <v>19</v>
      </c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8" t="s">
        <v>20</v>
      </c>
      <c r="BM183" s="8"/>
      <c r="BN183" s="8"/>
      <c r="BO183" s="8"/>
      <c r="BP183" s="7" t="s">
        <v>21</v>
      </c>
      <c r="BQ183" s="7"/>
      <c r="BR183" s="7"/>
      <c r="BS183" s="7" t="s">
        <v>21</v>
      </c>
      <c r="BT183" s="7"/>
      <c r="BU183" s="7"/>
    </row>
    <row r="184" customFormat="false" ht="44.25" hidden="false" customHeight="true" outlineLevel="0" collapsed="false">
      <c r="A184" s="7"/>
      <c r="B184" s="8"/>
      <c r="C184" s="8"/>
      <c r="D184" s="9"/>
      <c r="E184" s="9"/>
      <c r="F184" s="9"/>
      <c r="G184" s="9"/>
      <c r="H184" s="7" t="s">
        <v>22</v>
      </c>
      <c r="I184" s="7"/>
      <c r="J184" s="7" t="s">
        <v>23</v>
      </c>
      <c r="K184" s="7"/>
      <c r="L184" s="7" t="s">
        <v>24</v>
      </c>
      <c r="M184" s="7"/>
      <c r="N184" s="12" t="s">
        <v>25</v>
      </c>
      <c r="O184" s="8"/>
      <c r="P184" s="11" t="s">
        <v>22</v>
      </c>
      <c r="Q184" s="11"/>
      <c r="R184" s="11"/>
      <c r="S184" s="11"/>
      <c r="T184" s="10" t="s">
        <v>23</v>
      </c>
      <c r="U184" s="10"/>
      <c r="V184" s="10"/>
      <c r="W184" s="10"/>
      <c r="X184" s="10" t="s">
        <v>24</v>
      </c>
      <c r="Y184" s="10"/>
      <c r="Z184" s="10"/>
      <c r="AA184" s="10"/>
      <c r="AB184" s="10" t="s">
        <v>22</v>
      </c>
      <c r="AC184" s="10"/>
      <c r="AD184" s="10"/>
      <c r="AE184" s="10"/>
      <c r="AF184" s="10" t="s">
        <v>23</v>
      </c>
      <c r="AG184" s="10"/>
      <c r="AH184" s="10"/>
      <c r="AI184" s="10"/>
      <c r="AJ184" s="10" t="s">
        <v>24</v>
      </c>
      <c r="AK184" s="10"/>
      <c r="AL184" s="10"/>
      <c r="AM184" s="10"/>
      <c r="AN184" s="7" t="s">
        <v>22</v>
      </c>
      <c r="AO184" s="7"/>
      <c r="AP184" s="7"/>
      <c r="AQ184" s="7"/>
      <c r="AR184" s="7" t="s">
        <v>23</v>
      </c>
      <c r="AS184" s="7"/>
      <c r="AT184" s="7"/>
      <c r="AU184" s="7"/>
      <c r="AV184" s="7" t="s">
        <v>24</v>
      </c>
      <c r="AW184" s="7"/>
      <c r="AX184" s="7"/>
      <c r="AY184" s="7"/>
      <c r="AZ184" s="7" t="s">
        <v>22</v>
      </c>
      <c r="BA184" s="7"/>
      <c r="BB184" s="7"/>
      <c r="BC184" s="7"/>
      <c r="BD184" s="7" t="s">
        <v>23</v>
      </c>
      <c r="BE184" s="7"/>
      <c r="BF184" s="7"/>
      <c r="BG184" s="7"/>
      <c r="BH184" s="7" t="s">
        <v>24</v>
      </c>
      <c r="BI184" s="7"/>
      <c r="BJ184" s="7"/>
      <c r="BK184" s="7"/>
      <c r="BL184" s="7" t="s">
        <v>26</v>
      </c>
      <c r="BM184" s="7"/>
      <c r="BN184" s="7"/>
      <c r="BO184" s="7"/>
      <c r="BP184" s="7" t="s">
        <v>27</v>
      </c>
      <c r="BQ184" s="7"/>
      <c r="BR184" s="7"/>
      <c r="BS184" s="7" t="s">
        <v>28</v>
      </c>
      <c r="BT184" s="7"/>
      <c r="BU184" s="7"/>
    </row>
    <row r="185" customFormat="false" ht="27" hidden="false" customHeight="true" outlineLevel="0" collapsed="false">
      <c r="A185" s="7"/>
      <c r="B185" s="8"/>
      <c r="C185" s="8"/>
      <c r="D185" s="9"/>
      <c r="E185" s="9"/>
      <c r="F185" s="9"/>
      <c r="G185" s="9"/>
      <c r="H185" s="7" t="s">
        <v>29</v>
      </c>
      <c r="I185" s="7" t="s">
        <v>30</v>
      </c>
      <c r="J185" s="7" t="s">
        <v>29</v>
      </c>
      <c r="K185" s="7" t="s">
        <v>30</v>
      </c>
      <c r="L185" s="7" t="s">
        <v>29</v>
      </c>
      <c r="M185" s="7" t="s">
        <v>30</v>
      </c>
      <c r="N185" s="12"/>
      <c r="O185" s="8"/>
      <c r="P185" s="11" t="s">
        <v>29</v>
      </c>
      <c r="Q185" s="11"/>
      <c r="R185" s="10" t="s">
        <v>30</v>
      </c>
      <c r="S185" s="10"/>
      <c r="T185" s="10" t="s">
        <v>29</v>
      </c>
      <c r="U185" s="10"/>
      <c r="V185" s="10" t="s">
        <v>30</v>
      </c>
      <c r="W185" s="10"/>
      <c r="X185" s="10" t="s">
        <v>29</v>
      </c>
      <c r="Y185" s="10"/>
      <c r="Z185" s="10" t="s">
        <v>30</v>
      </c>
      <c r="AA185" s="10"/>
      <c r="AB185" s="10" t="s">
        <v>29</v>
      </c>
      <c r="AC185" s="10"/>
      <c r="AD185" s="10" t="s">
        <v>30</v>
      </c>
      <c r="AE185" s="10"/>
      <c r="AF185" s="10" t="s">
        <v>29</v>
      </c>
      <c r="AG185" s="10"/>
      <c r="AH185" s="10" t="s">
        <v>30</v>
      </c>
      <c r="AI185" s="10"/>
      <c r="AJ185" s="10" t="s">
        <v>29</v>
      </c>
      <c r="AK185" s="10"/>
      <c r="AL185" s="10" t="s">
        <v>30</v>
      </c>
      <c r="AM185" s="10"/>
      <c r="AN185" s="13" t="s">
        <v>29</v>
      </c>
      <c r="AO185" s="13"/>
      <c r="AP185" s="13" t="s">
        <v>30</v>
      </c>
      <c r="AQ185" s="13"/>
      <c r="AR185" s="13" t="s">
        <v>29</v>
      </c>
      <c r="AS185" s="13"/>
      <c r="AT185" s="13" t="s">
        <v>30</v>
      </c>
      <c r="AU185" s="13"/>
      <c r="AV185" s="13" t="s">
        <v>29</v>
      </c>
      <c r="AW185" s="13"/>
      <c r="AX185" s="13" t="s">
        <v>30</v>
      </c>
      <c r="AY185" s="13"/>
      <c r="AZ185" s="14" t="s">
        <v>29</v>
      </c>
      <c r="BA185" s="14"/>
      <c r="BB185" s="14" t="s">
        <v>30</v>
      </c>
      <c r="BC185" s="14"/>
      <c r="BD185" s="14" t="s">
        <v>29</v>
      </c>
      <c r="BE185" s="14"/>
      <c r="BF185" s="14" t="s">
        <v>30</v>
      </c>
      <c r="BG185" s="14"/>
      <c r="BH185" s="14" t="s">
        <v>29</v>
      </c>
      <c r="BI185" s="14"/>
      <c r="BJ185" s="14" t="s">
        <v>30</v>
      </c>
      <c r="BK185" s="14"/>
      <c r="BL185" s="15" t="s">
        <v>29</v>
      </c>
      <c r="BM185" s="15" t="s">
        <v>30</v>
      </c>
      <c r="BN185" s="15" t="s">
        <v>31</v>
      </c>
      <c r="BO185" s="15" t="s">
        <v>32</v>
      </c>
      <c r="BP185" s="7" t="s">
        <v>33</v>
      </c>
      <c r="BQ185" s="7" t="s">
        <v>34</v>
      </c>
      <c r="BR185" s="7" t="s">
        <v>35</v>
      </c>
      <c r="BS185" s="7" t="s">
        <v>33</v>
      </c>
      <c r="BT185" s="7" t="s">
        <v>34</v>
      </c>
      <c r="BU185" s="7" t="s">
        <v>35</v>
      </c>
    </row>
    <row r="186" customFormat="false" ht="85.5" hidden="false" customHeight="true" outlineLevel="0" collapsed="false">
      <c r="A186" s="7"/>
      <c r="B186" s="8"/>
      <c r="C186" s="8"/>
      <c r="D186" s="9"/>
      <c r="E186" s="9"/>
      <c r="F186" s="9"/>
      <c r="G186" s="9"/>
      <c r="H186" s="7"/>
      <c r="I186" s="7"/>
      <c r="J186" s="7"/>
      <c r="K186" s="7"/>
      <c r="L186" s="7"/>
      <c r="M186" s="7"/>
      <c r="N186" s="12"/>
      <c r="O186" s="8"/>
      <c r="P186" s="16" t="s">
        <v>36</v>
      </c>
      <c r="Q186" s="17" t="s">
        <v>37</v>
      </c>
      <c r="R186" s="17" t="s">
        <v>36</v>
      </c>
      <c r="S186" s="17" t="s">
        <v>37</v>
      </c>
      <c r="T186" s="17" t="s">
        <v>36</v>
      </c>
      <c r="U186" s="17" t="s">
        <v>37</v>
      </c>
      <c r="V186" s="17" t="s">
        <v>36</v>
      </c>
      <c r="W186" s="17" t="s">
        <v>37</v>
      </c>
      <c r="X186" s="17" t="s">
        <v>36</v>
      </c>
      <c r="Y186" s="17" t="s">
        <v>37</v>
      </c>
      <c r="Z186" s="17" t="s">
        <v>36</v>
      </c>
      <c r="AA186" s="17" t="s">
        <v>37</v>
      </c>
      <c r="AB186" s="17" t="s">
        <v>36</v>
      </c>
      <c r="AC186" s="17" t="s">
        <v>37</v>
      </c>
      <c r="AD186" s="17" t="s">
        <v>36</v>
      </c>
      <c r="AE186" s="17" t="s">
        <v>37</v>
      </c>
      <c r="AF186" s="17" t="s">
        <v>36</v>
      </c>
      <c r="AG186" s="17" t="s">
        <v>37</v>
      </c>
      <c r="AH186" s="17" t="s">
        <v>36</v>
      </c>
      <c r="AI186" s="17" t="s">
        <v>37</v>
      </c>
      <c r="AJ186" s="17" t="s">
        <v>36</v>
      </c>
      <c r="AK186" s="17" t="s">
        <v>37</v>
      </c>
      <c r="AL186" s="17" t="s">
        <v>36</v>
      </c>
      <c r="AM186" s="17" t="s">
        <v>37</v>
      </c>
      <c r="AN186" s="18" t="s">
        <v>38</v>
      </c>
      <c r="AO186" s="18" t="s">
        <v>39</v>
      </c>
      <c r="AP186" s="18" t="s">
        <v>38</v>
      </c>
      <c r="AQ186" s="18" t="s">
        <v>39</v>
      </c>
      <c r="AR186" s="18" t="s">
        <v>38</v>
      </c>
      <c r="AS186" s="18" t="s">
        <v>39</v>
      </c>
      <c r="AT186" s="18" t="s">
        <v>38</v>
      </c>
      <c r="AU186" s="18" t="s">
        <v>39</v>
      </c>
      <c r="AV186" s="18" t="s">
        <v>38</v>
      </c>
      <c r="AW186" s="18" t="s">
        <v>39</v>
      </c>
      <c r="AX186" s="18" t="s">
        <v>38</v>
      </c>
      <c r="AY186" s="18" t="s">
        <v>39</v>
      </c>
      <c r="AZ186" s="19" t="s">
        <v>40</v>
      </c>
      <c r="BA186" s="20" t="s">
        <v>41</v>
      </c>
      <c r="BB186" s="19" t="s">
        <v>40</v>
      </c>
      <c r="BC186" s="20" t="s">
        <v>41</v>
      </c>
      <c r="BD186" s="19" t="s">
        <v>40</v>
      </c>
      <c r="BE186" s="20" t="s">
        <v>41</v>
      </c>
      <c r="BF186" s="19" t="s">
        <v>40</v>
      </c>
      <c r="BG186" s="20" t="s">
        <v>41</v>
      </c>
      <c r="BH186" s="19" t="s">
        <v>40</v>
      </c>
      <c r="BI186" s="20" t="s">
        <v>41</v>
      </c>
      <c r="BJ186" s="19" t="s">
        <v>40</v>
      </c>
      <c r="BK186" s="20" t="s">
        <v>41</v>
      </c>
      <c r="BL186" s="21" t="s">
        <v>41</v>
      </c>
      <c r="BM186" s="21" t="s">
        <v>41</v>
      </c>
      <c r="BN186" s="15"/>
      <c r="BO186" s="15"/>
      <c r="BP186" s="7"/>
      <c r="BQ186" s="7"/>
      <c r="BR186" s="7"/>
      <c r="BS186" s="7"/>
      <c r="BT186" s="7"/>
      <c r="BU186" s="7"/>
    </row>
    <row r="187" customFormat="false" ht="13.5" hidden="false" customHeight="true" outlineLevel="0" collapsed="false">
      <c r="A187" s="22" t="n">
        <v>1</v>
      </c>
      <c r="B187" s="23" t="n">
        <v>2</v>
      </c>
      <c r="C187" s="23" t="n">
        <f aca="false">+B187+1</f>
        <v>3</v>
      </c>
      <c r="D187" s="23" t="n">
        <v>4</v>
      </c>
      <c r="E187" s="23" t="n">
        <v>5</v>
      </c>
      <c r="F187" s="23" t="n">
        <v>6</v>
      </c>
      <c r="G187" s="23" t="n">
        <v>7</v>
      </c>
      <c r="H187" s="24" t="n">
        <v>8</v>
      </c>
      <c r="I187" s="24"/>
      <c r="J187" s="24"/>
      <c r="K187" s="24"/>
      <c r="L187" s="24"/>
      <c r="M187" s="24"/>
      <c r="N187" s="25" t="n">
        <v>9</v>
      </c>
      <c r="O187" s="24" t="n">
        <v>10</v>
      </c>
      <c r="P187" s="24" t="n">
        <v>11</v>
      </c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3" t="n">
        <v>12</v>
      </c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13" t="n">
        <v>13</v>
      </c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4" t="n">
        <v>14</v>
      </c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5" t="n">
        <v>15</v>
      </c>
      <c r="BM187" s="15"/>
      <c r="BN187" s="15"/>
      <c r="BO187" s="15"/>
      <c r="BP187" s="24" t="n">
        <v>16</v>
      </c>
      <c r="BQ187" s="24"/>
      <c r="BR187" s="24"/>
      <c r="BS187" s="24" t="n">
        <v>17</v>
      </c>
      <c r="BT187" s="24"/>
      <c r="BU187" s="24"/>
    </row>
    <row r="188" customFormat="false" ht="32.25" hidden="false" customHeight="true" outlineLevel="0" collapsed="false">
      <c r="A188" s="27" t="n">
        <v>1</v>
      </c>
      <c r="B188" s="28" t="s">
        <v>42</v>
      </c>
      <c r="C188" s="10" t="n">
        <v>3</v>
      </c>
      <c r="D188" s="10" t="n">
        <v>0</v>
      </c>
      <c r="E188" s="10" t="n">
        <v>3</v>
      </c>
      <c r="F188" s="10" t="n">
        <v>0</v>
      </c>
      <c r="G188" s="10" t="n">
        <v>0</v>
      </c>
      <c r="H188" s="29" t="n">
        <v>200</v>
      </c>
      <c r="I188" s="29" t="n">
        <v>243</v>
      </c>
      <c r="J188" s="30" t="n">
        <v>180</v>
      </c>
      <c r="K188" s="30" t="n">
        <v>209</v>
      </c>
      <c r="L188" s="30" t="n">
        <v>110</v>
      </c>
      <c r="M188" s="30" t="n">
        <v>117</v>
      </c>
      <c r="N188" s="31" t="n">
        <f aca="false">SUM(J188:M188)</f>
        <v>616</v>
      </c>
      <c r="O188" s="32" t="n">
        <v>0</v>
      </c>
      <c r="P188" s="33" t="n">
        <f aca="false">P166+Q166</f>
        <v>76</v>
      </c>
      <c r="Q188" s="33"/>
      <c r="R188" s="33" t="n">
        <f aca="false">R166+S166</f>
        <v>169</v>
      </c>
      <c r="S188" s="33"/>
      <c r="T188" s="33" t="n">
        <f aca="false">T166+U166</f>
        <v>67</v>
      </c>
      <c r="U188" s="34"/>
      <c r="V188" s="33" t="n">
        <f aca="false">V166+W166</f>
        <v>102</v>
      </c>
      <c r="W188" s="34"/>
      <c r="X188" s="33" t="n">
        <f aca="false">X166+Y166</f>
        <v>101</v>
      </c>
      <c r="Y188" s="34"/>
      <c r="Z188" s="33" t="n">
        <f aca="false">Z166+AA166</f>
        <v>80</v>
      </c>
      <c r="AA188" s="34"/>
      <c r="AB188" s="33" t="n">
        <f aca="false">AB166+AC166</f>
        <v>47</v>
      </c>
      <c r="AC188" s="33"/>
      <c r="AD188" s="33" t="n">
        <f aca="false">AD166+AE166</f>
        <v>81</v>
      </c>
      <c r="AE188" s="33"/>
      <c r="AF188" s="33" t="n">
        <f aca="false">AF166+AG166</f>
        <v>67</v>
      </c>
      <c r="AG188" s="34"/>
      <c r="AH188" s="33" t="n">
        <f aca="false">AH166+AI166</f>
        <v>76</v>
      </c>
      <c r="AI188" s="34"/>
      <c r="AJ188" s="33" t="n">
        <f aca="false">AJ166+AK166</f>
        <v>26</v>
      </c>
      <c r="AK188" s="34"/>
      <c r="AL188" s="33" t="n">
        <f aca="false">AL166+AM166</f>
        <v>34</v>
      </c>
      <c r="AM188" s="34"/>
      <c r="AN188" s="35" t="n">
        <f aca="false">P188+AB188</f>
        <v>123</v>
      </c>
      <c r="AO188" s="35" t="n">
        <f aca="false">Q188+AC188</f>
        <v>0</v>
      </c>
      <c r="AP188" s="35" t="n">
        <f aca="false">R188+AD188</f>
        <v>250</v>
      </c>
      <c r="AQ188" s="35" t="n">
        <f aca="false">S188+AE188</f>
        <v>0</v>
      </c>
      <c r="AR188" s="35" t="n">
        <f aca="false">T188+AF188</f>
        <v>134</v>
      </c>
      <c r="AS188" s="35" t="n">
        <f aca="false">U188+AG188</f>
        <v>0</v>
      </c>
      <c r="AT188" s="35" t="n">
        <f aca="false">V188+AH188</f>
        <v>178</v>
      </c>
      <c r="AU188" s="35" t="n">
        <f aca="false">W188+AI188</f>
        <v>0</v>
      </c>
      <c r="AV188" s="35" t="n">
        <f aca="false">X188+AJ188</f>
        <v>127</v>
      </c>
      <c r="AW188" s="35" t="n">
        <f aca="false">Y188+AK188</f>
        <v>0</v>
      </c>
      <c r="AX188" s="35" t="n">
        <f aca="false">Z188+AL188</f>
        <v>114</v>
      </c>
      <c r="AY188" s="35" t="n">
        <f aca="false">AA188+AM188</f>
        <v>0</v>
      </c>
      <c r="AZ188" s="36" t="n">
        <f aca="false">AO188</f>
        <v>0</v>
      </c>
      <c r="BA188" s="36" t="n">
        <f aca="false">SUM(AN188:AO188)</f>
        <v>123</v>
      </c>
      <c r="BB188" s="36" t="n">
        <f aca="false">S188+AE188</f>
        <v>0</v>
      </c>
      <c r="BC188" s="36" t="n">
        <f aca="false">SUM(AP188:AQ188)</f>
        <v>250</v>
      </c>
      <c r="BD188" s="36" t="n">
        <f aca="false">U188+AG188</f>
        <v>0</v>
      </c>
      <c r="BE188" s="36" t="n">
        <f aca="false">SUM(AR188:AS188)</f>
        <v>134</v>
      </c>
      <c r="BF188" s="36" t="n">
        <f aca="false">W188+AI188</f>
        <v>0</v>
      </c>
      <c r="BG188" s="36" t="n">
        <f aca="false">SUM(AT188:AU188)</f>
        <v>178</v>
      </c>
      <c r="BH188" s="36" t="n">
        <f aca="false">Y188+AK188</f>
        <v>0</v>
      </c>
      <c r="BI188" s="36" t="n">
        <f aca="false">SUM(AV188:AW188)</f>
        <v>127</v>
      </c>
      <c r="BJ188" s="36" t="n">
        <f aca="false">AA188+AM188</f>
        <v>0</v>
      </c>
      <c r="BK188" s="36" t="n">
        <f aca="false">SUM(AX188:AY188)</f>
        <v>114</v>
      </c>
      <c r="BL188" s="37" t="n">
        <f aca="false">BE188+BI188</f>
        <v>261</v>
      </c>
      <c r="BM188" s="37" t="n">
        <f aca="false">BG188+BK188</f>
        <v>292</v>
      </c>
      <c r="BN188" s="38" t="n">
        <f aca="false">BL188+BM188</f>
        <v>553</v>
      </c>
      <c r="BO188" s="39" t="n">
        <f aca="false">BN188/N188*100</f>
        <v>89.7727272727273</v>
      </c>
      <c r="BP188" s="10" t="n">
        <v>32</v>
      </c>
      <c r="BQ188" s="10" t="n">
        <v>0</v>
      </c>
      <c r="BR188" s="10" t="n">
        <v>0</v>
      </c>
      <c r="BS188" s="10" t="n">
        <v>21</v>
      </c>
      <c r="BT188" s="10" t="n">
        <v>0</v>
      </c>
      <c r="BU188" s="10" t="n">
        <v>0</v>
      </c>
    </row>
    <row r="189" customFormat="false" ht="32.25" hidden="false" customHeight="true" outlineLevel="0" collapsed="false">
      <c r="A189" s="27" t="n">
        <v>2</v>
      </c>
      <c r="B189" s="28" t="s">
        <v>43</v>
      </c>
      <c r="C189" s="10" t="n">
        <v>3</v>
      </c>
      <c r="D189" s="10" t="n">
        <v>0</v>
      </c>
      <c r="E189" s="10" t="n">
        <v>3</v>
      </c>
      <c r="F189" s="10" t="n">
        <v>0</v>
      </c>
      <c r="G189" s="10" t="n">
        <v>0</v>
      </c>
      <c r="H189" s="29" t="n">
        <v>385</v>
      </c>
      <c r="I189" s="29" t="n">
        <v>393</v>
      </c>
      <c r="J189" s="30" t="n">
        <v>165</v>
      </c>
      <c r="K189" s="30" t="n">
        <v>177</v>
      </c>
      <c r="L189" s="30" t="n">
        <v>95</v>
      </c>
      <c r="M189" s="30" t="n">
        <v>104</v>
      </c>
      <c r="N189" s="31" t="n">
        <f aca="false">SUM(J189:M189)</f>
        <v>541</v>
      </c>
      <c r="O189" s="32" t="n">
        <v>0</v>
      </c>
      <c r="P189" s="33" t="n">
        <f aca="false">P167+Q167</f>
        <v>70</v>
      </c>
      <c r="Q189" s="33"/>
      <c r="R189" s="33" t="n">
        <f aca="false">R167+S167</f>
        <v>154</v>
      </c>
      <c r="S189" s="33"/>
      <c r="T189" s="33" t="n">
        <f aca="false">T167+U167</f>
        <v>84</v>
      </c>
      <c r="U189" s="34"/>
      <c r="V189" s="33" t="n">
        <f aca="false">V167+W167</f>
        <v>90</v>
      </c>
      <c r="W189" s="34"/>
      <c r="X189" s="33" t="n">
        <f aca="false">X167+Y167</f>
        <v>49</v>
      </c>
      <c r="Y189" s="34"/>
      <c r="Z189" s="33" t="n">
        <f aca="false">Z167+AA167</f>
        <v>62</v>
      </c>
      <c r="AA189" s="34"/>
      <c r="AB189" s="33" t="n">
        <f aca="false">AB167+AC167</f>
        <v>31</v>
      </c>
      <c r="AC189" s="33"/>
      <c r="AD189" s="33" t="n">
        <f aca="false">AD167+AE167</f>
        <v>47</v>
      </c>
      <c r="AE189" s="33"/>
      <c r="AF189" s="33" t="n">
        <f aca="false">AF167+AG167</f>
        <v>36</v>
      </c>
      <c r="AG189" s="34"/>
      <c r="AH189" s="33" t="n">
        <f aca="false">AH167+AI167</f>
        <v>41</v>
      </c>
      <c r="AI189" s="34"/>
      <c r="AJ189" s="33" t="n">
        <f aca="false">AJ167+AK167</f>
        <v>28</v>
      </c>
      <c r="AK189" s="34"/>
      <c r="AL189" s="33" t="n">
        <f aca="false">AL167+AM167</f>
        <v>32</v>
      </c>
      <c r="AM189" s="34"/>
      <c r="AN189" s="35" t="n">
        <f aca="false">P189+AB189</f>
        <v>101</v>
      </c>
      <c r="AO189" s="35" t="n">
        <f aca="false">Q189+AC189</f>
        <v>0</v>
      </c>
      <c r="AP189" s="35" t="n">
        <f aca="false">R189+AD189</f>
        <v>201</v>
      </c>
      <c r="AQ189" s="35" t="n">
        <f aca="false">S189+AE189</f>
        <v>0</v>
      </c>
      <c r="AR189" s="35" t="n">
        <f aca="false">T189+AF189</f>
        <v>120</v>
      </c>
      <c r="AS189" s="35" t="n">
        <f aca="false">U189+AG189</f>
        <v>0</v>
      </c>
      <c r="AT189" s="35" t="n">
        <f aca="false">V189+AH189</f>
        <v>131</v>
      </c>
      <c r="AU189" s="35" t="n">
        <f aca="false">W189+AI189</f>
        <v>0</v>
      </c>
      <c r="AV189" s="35" t="n">
        <f aca="false">X189+AJ189</f>
        <v>77</v>
      </c>
      <c r="AW189" s="35" t="n">
        <f aca="false">Y189+AK189</f>
        <v>0</v>
      </c>
      <c r="AX189" s="35" t="n">
        <f aca="false">Z189+AL189</f>
        <v>94</v>
      </c>
      <c r="AY189" s="35" t="n">
        <f aca="false">AA189+AM189</f>
        <v>0</v>
      </c>
      <c r="AZ189" s="36" t="n">
        <f aca="false">AO189</f>
        <v>0</v>
      </c>
      <c r="BA189" s="36" t="n">
        <f aca="false">SUM(AN189:AO189)</f>
        <v>101</v>
      </c>
      <c r="BB189" s="36" t="n">
        <f aca="false">S189+AE189</f>
        <v>0</v>
      </c>
      <c r="BC189" s="36" t="n">
        <f aca="false">SUM(AP189:AQ189)</f>
        <v>201</v>
      </c>
      <c r="BD189" s="36" t="n">
        <f aca="false">U189+AG189</f>
        <v>0</v>
      </c>
      <c r="BE189" s="36" t="n">
        <f aca="false">SUM(AR189:AS189)</f>
        <v>120</v>
      </c>
      <c r="BF189" s="36" t="n">
        <f aca="false">W189+AI189</f>
        <v>0</v>
      </c>
      <c r="BG189" s="36" t="n">
        <f aca="false">SUM(AT189:AU189)</f>
        <v>131</v>
      </c>
      <c r="BH189" s="36" t="n">
        <f aca="false">Y189+AK189</f>
        <v>0</v>
      </c>
      <c r="BI189" s="36" t="n">
        <f aca="false">SUM(AV189:AW189)</f>
        <v>77</v>
      </c>
      <c r="BJ189" s="36" t="n">
        <f aca="false">AA189+AM189</f>
        <v>0</v>
      </c>
      <c r="BK189" s="36" t="n">
        <f aca="false">SUM(AX189:AY189)</f>
        <v>94</v>
      </c>
      <c r="BL189" s="37" t="n">
        <f aca="false">BE189+BI189</f>
        <v>197</v>
      </c>
      <c r="BM189" s="37" t="n">
        <f aca="false">BG189+BK189</f>
        <v>225</v>
      </c>
      <c r="BN189" s="38" t="n">
        <f aca="false">BL189+BM189</f>
        <v>422</v>
      </c>
      <c r="BO189" s="39" t="n">
        <f aca="false">BN189/N189*100</f>
        <v>78.003696857671</v>
      </c>
      <c r="BP189" s="10" t="n">
        <v>30</v>
      </c>
      <c r="BQ189" s="10" t="n">
        <v>0</v>
      </c>
      <c r="BR189" s="10" t="n">
        <v>0</v>
      </c>
      <c r="BS189" s="10" t="n">
        <v>21</v>
      </c>
      <c r="BT189" s="10" t="n">
        <v>0</v>
      </c>
      <c r="BU189" s="10" t="n">
        <v>0</v>
      </c>
    </row>
    <row r="190" customFormat="false" ht="32.25" hidden="false" customHeight="true" outlineLevel="0" collapsed="false">
      <c r="A190" s="27" t="n">
        <v>3</v>
      </c>
      <c r="B190" s="28" t="s">
        <v>44</v>
      </c>
      <c r="C190" s="10" t="n">
        <v>2</v>
      </c>
      <c r="D190" s="10" t="n">
        <v>0</v>
      </c>
      <c r="E190" s="10" t="n">
        <v>2</v>
      </c>
      <c r="F190" s="10" t="n">
        <v>0</v>
      </c>
      <c r="G190" s="10" t="n">
        <v>0</v>
      </c>
      <c r="H190" s="29" t="n">
        <v>178</v>
      </c>
      <c r="I190" s="29" t="n">
        <v>178</v>
      </c>
      <c r="J190" s="30" t="n">
        <v>70</v>
      </c>
      <c r="K190" s="30" t="n">
        <v>87</v>
      </c>
      <c r="L190" s="30" t="n">
        <v>45</v>
      </c>
      <c r="M190" s="30" t="n">
        <v>46</v>
      </c>
      <c r="N190" s="31" t="n">
        <f aca="false">SUM(J190:M190)</f>
        <v>248</v>
      </c>
      <c r="O190" s="32" t="n">
        <v>0</v>
      </c>
      <c r="P190" s="33" t="n">
        <f aca="false">P168+Q168</f>
        <v>33</v>
      </c>
      <c r="Q190" s="33"/>
      <c r="R190" s="33" t="n">
        <f aca="false">R168+S168</f>
        <v>64</v>
      </c>
      <c r="S190" s="33"/>
      <c r="T190" s="33" t="n">
        <f aca="false">T168+U168</f>
        <v>31</v>
      </c>
      <c r="U190" s="34"/>
      <c r="V190" s="33" t="n">
        <f aca="false">V168+W168</f>
        <v>32</v>
      </c>
      <c r="W190" s="34"/>
      <c r="X190" s="33" t="n">
        <f aca="false">X168+Y168</f>
        <v>15</v>
      </c>
      <c r="Y190" s="34"/>
      <c r="Z190" s="33" t="n">
        <f aca="false">Z168+AA168</f>
        <v>21</v>
      </c>
      <c r="AA190" s="34"/>
      <c r="AB190" s="33" t="n">
        <f aca="false">AB168+AC168</f>
        <v>18</v>
      </c>
      <c r="AC190" s="33"/>
      <c r="AD190" s="33" t="n">
        <f aca="false">AD168+AE168</f>
        <v>22</v>
      </c>
      <c r="AE190" s="33"/>
      <c r="AF190" s="33" t="n">
        <f aca="false">AF168+AG168</f>
        <v>13</v>
      </c>
      <c r="AG190" s="34"/>
      <c r="AH190" s="33" t="n">
        <f aca="false">AH168+AI168</f>
        <v>27</v>
      </c>
      <c r="AI190" s="34"/>
      <c r="AJ190" s="33" t="n">
        <f aca="false">AJ168+AK168</f>
        <v>8</v>
      </c>
      <c r="AK190" s="34"/>
      <c r="AL190" s="33" t="n">
        <f aca="false">AL168+AM168</f>
        <v>14</v>
      </c>
      <c r="AM190" s="34"/>
      <c r="AN190" s="35" t="n">
        <f aca="false">P190+AB190</f>
        <v>51</v>
      </c>
      <c r="AO190" s="35" t="n">
        <f aca="false">Q190+AC190</f>
        <v>0</v>
      </c>
      <c r="AP190" s="35" t="n">
        <f aca="false">R190+AD190</f>
        <v>86</v>
      </c>
      <c r="AQ190" s="35" t="n">
        <f aca="false">S190+AE190</f>
        <v>0</v>
      </c>
      <c r="AR190" s="35" t="n">
        <f aca="false">T190+AF190</f>
        <v>44</v>
      </c>
      <c r="AS190" s="35" t="n">
        <f aca="false">U190+AG190</f>
        <v>0</v>
      </c>
      <c r="AT190" s="35" t="n">
        <f aca="false">V190+AH190</f>
        <v>59</v>
      </c>
      <c r="AU190" s="35" t="n">
        <f aca="false">W190+AI190</f>
        <v>0</v>
      </c>
      <c r="AV190" s="35" t="n">
        <f aca="false">X190+AJ190</f>
        <v>23</v>
      </c>
      <c r="AW190" s="35" t="n">
        <f aca="false">Y190+AK190</f>
        <v>0</v>
      </c>
      <c r="AX190" s="35" t="n">
        <f aca="false">Z190+AL190</f>
        <v>35</v>
      </c>
      <c r="AY190" s="35" t="n">
        <f aca="false">AA190+AM190</f>
        <v>0</v>
      </c>
      <c r="AZ190" s="36" t="n">
        <f aca="false">AO190</f>
        <v>0</v>
      </c>
      <c r="BA190" s="36" t="n">
        <f aca="false">SUM(AN190:AO190)</f>
        <v>51</v>
      </c>
      <c r="BB190" s="36" t="n">
        <f aca="false">S190+AE190</f>
        <v>0</v>
      </c>
      <c r="BC190" s="36" t="n">
        <f aca="false">SUM(AP190:AQ190)</f>
        <v>86</v>
      </c>
      <c r="BD190" s="36" t="n">
        <f aca="false">U190+AG190</f>
        <v>0</v>
      </c>
      <c r="BE190" s="36" t="n">
        <f aca="false">SUM(AR190:AS190)</f>
        <v>44</v>
      </c>
      <c r="BF190" s="36" t="n">
        <f aca="false">W190+AI190</f>
        <v>0</v>
      </c>
      <c r="BG190" s="36" t="n">
        <f aca="false">SUM(AT190:AU190)</f>
        <v>59</v>
      </c>
      <c r="BH190" s="36" t="n">
        <f aca="false">Y190+AK190</f>
        <v>0</v>
      </c>
      <c r="BI190" s="36" t="n">
        <f aca="false">SUM(AV190:AW190)</f>
        <v>23</v>
      </c>
      <c r="BJ190" s="36" t="n">
        <f aca="false">AA190+AM190</f>
        <v>0</v>
      </c>
      <c r="BK190" s="36" t="n">
        <f aca="false">SUM(AX190:AY190)</f>
        <v>35</v>
      </c>
      <c r="BL190" s="37" t="n">
        <f aca="false">BE190+BI190</f>
        <v>67</v>
      </c>
      <c r="BM190" s="37" t="n">
        <f aca="false">BG190+BK190</f>
        <v>94</v>
      </c>
      <c r="BN190" s="38" t="n">
        <f aca="false">BL190+BM190</f>
        <v>161</v>
      </c>
      <c r="BO190" s="39" t="n">
        <f aca="false">BN190/N190*100</f>
        <v>64.9193548387097</v>
      </c>
      <c r="BP190" s="10" t="n">
        <v>1</v>
      </c>
      <c r="BQ190" s="10" t="n">
        <v>0</v>
      </c>
      <c r="BR190" s="10" t="n">
        <v>0</v>
      </c>
      <c r="BS190" s="10" t="n">
        <v>0</v>
      </c>
      <c r="BT190" s="10" t="n">
        <v>0</v>
      </c>
      <c r="BU190" s="10" t="n">
        <v>0</v>
      </c>
    </row>
    <row r="191" customFormat="false" ht="32.25" hidden="false" customHeight="true" outlineLevel="0" collapsed="false">
      <c r="A191" s="27" t="n">
        <v>4</v>
      </c>
      <c r="B191" s="28" t="s">
        <v>45</v>
      </c>
      <c r="C191" s="10" t="n">
        <v>2</v>
      </c>
      <c r="D191" s="10" t="n">
        <v>0</v>
      </c>
      <c r="E191" s="10" t="n">
        <v>2</v>
      </c>
      <c r="F191" s="10" t="n">
        <v>0</v>
      </c>
      <c r="G191" s="10" t="n">
        <v>0</v>
      </c>
      <c r="H191" s="29" t="n">
        <v>245</v>
      </c>
      <c r="I191" s="29" t="n">
        <v>248</v>
      </c>
      <c r="J191" s="30" t="n">
        <v>100</v>
      </c>
      <c r="K191" s="30" t="n">
        <v>117</v>
      </c>
      <c r="L191" s="30" t="n">
        <v>60</v>
      </c>
      <c r="M191" s="30" t="n">
        <v>66</v>
      </c>
      <c r="N191" s="31" t="n">
        <f aca="false">SUM(J191:M191)</f>
        <v>343</v>
      </c>
      <c r="O191" s="32" t="n">
        <v>0</v>
      </c>
      <c r="P191" s="33" t="n">
        <f aca="false">P169+Q169</f>
        <v>39</v>
      </c>
      <c r="Q191" s="42"/>
      <c r="R191" s="33" t="n">
        <f aca="false">R169+S169</f>
        <v>72</v>
      </c>
      <c r="S191" s="33"/>
      <c r="T191" s="33" t="n">
        <f aca="false">T169+U169</f>
        <v>26</v>
      </c>
      <c r="U191" s="34"/>
      <c r="V191" s="33" t="n">
        <f aca="false">V169+W169</f>
        <v>63</v>
      </c>
      <c r="W191" s="34"/>
      <c r="X191" s="33" t="n">
        <f aca="false">X169+Y169</f>
        <v>25</v>
      </c>
      <c r="Y191" s="34"/>
      <c r="Z191" s="33" t="n">
        <f aca="false">Z169+AA169</f>
        <v>30</v>
      </c>
      <c r="AA191" s="34"/>
      <c r="AB191" s="33" t="n">
        <f aca="false">AB169+AC169</f>
        <v>57</v>
      </c>
      <c r="AC191" s="43"/>
      <c r="AD191" s="33" t="n">
        <f aca="false">AD169+AE169</f>
        <v>58</v>
      </c>
      <c r="AE191" s="33"/>
      <c r="AF191" s="33" t="n">
        <f aca="false">AF169+AG169</f>
        <v>40</v>
      </c>
      <c r="AG191" s="34"/>
      <c r="AH191" s="33" t="n">
        <f aca="false">AH169+AI169</f>
        <v>51</v>
      </c>
      <c r="AI191" s="34"/>
      <c r="AJ191" s="33" t="n">
        <f aca="false">AJ169+AK169</f>
        <v>39</v>
      </c>
      <c r="AK191" s="34"/>
      <c r="AL191" s="33" t="n">
        <f aca="false">AL169+AM169</f>
        <v>45</v>
      </c>
      <c r="AM191" s="34"/>
      <c r="AN191" s="35" t="n">
        <f aca="false">P191+AB191</f>
        <v>96</v>
      </c>
      <c r="AO191" s="35" t="n">
        <f aca="false">Q191+AC191</f>
        <v>0</v>
      </c>
      <c r="AP191" s="35" t="n">
        <f aca="false">R191+AD191</f>
        <v>130</v>
      </c>
      <c r="AQ191" s="35" t="n">
        <f aca="false">S191+AE191</f>
        <v>0</v>
      </c>
      <c r="AR191" s="35" t="n">
        <f aca="false">T191+AF191</f>
        <v>66</v>
      </c>
      <c r="AS191" s="35" t="n">
        <f aca="false">U191+AG191</f>
        <v>0</v>
      </c>
      <c r="AT191" s="35" t="n">
        <f aca="false">V191+AH191</f>
        <v>114</v>
      </c>
      <c r="AU191" s="35" t="n">
        <f aca="false">W191+AI191</f>
        <v>0</v>
      </c>
      <c r="AV191" s="35" t="n">
        <f aca="false">X191+AJ191</f>
        <v>64</v>
      </c>
      <c r="AW191" s="35" t="n">
        <f aca="false">Y191+AK191</f>
        <v>0</v>
      </c>
      <c r="AX191" s="35" t="n">
        <f aca="false">Z191+AL191</f>
        <v>75</v>
      </c>
      <c r="AY191" s="35" t="n">
        <f aca="false">AA191+AM191</f>
        <v>0</v>
      </c>
      <c r="AZ191" s="36" t="n">
        <f aca="false">AO191</f>
        <v>0</v>
      </c>
      <c r="BA191" s="36" t="n">
        <f aca="false">SUM(AN191:AO191)</f>
        <v>96</v>
      </c>
      <c r="BB191" s="36" t="n">
        <f aca="false">S191+AE191</f>
        <v>0</v>
      </c>
      <c r="BC191" s="36" t="n">
        <f aca="false">SUM(AP191:AQ191)</f>
        <v>130</v>
      </c>
      <c r="BD191" s="36" t="n">
        <f aca="false">U191+AG191</f>
        <v>0</v>
      </c>
      <c r="BE191" s="36" t="n">
        <f aca="false">SUM(AR191:AS191)</f>
        <v>66</v>
      </c>
      <c r="BF191" s="36" t="n">
        <f aca="false">W191+AI191</f>
        <v>0</v>
      </c>
      <c r="BG191" s="36" t="n">
        <f aca="false">SUM(AT191:AU191)</f>
        <v>114</v>
      </c>
      <c r="BH191" s="36" t="n">
        <f aca="false">Y191+AK191</f>
        <v>0</v>
      </c>
      <c r="BI191" s="36" t="n">
        <f aca="false">SUM(AV191:AW191)</f>
        <v>64</v>
      </c>
      <c r="BJ191" s="36" t="n">
        <f aca="false">AA191+AM191</f>
        <v>0</v>
      </c>
      <c r="BK191" s="36" t="n">
        <f aca="false">SUM(AX191:AY191)</f>
        <v>75</v>
      </c>
      <c r="BL191" s="37" t="n">
        <f aca="false">BE191+BI191</f>
        <v>130</v>
      </c>
      <c r="BM191" s="37" t="n">
        <f aca="false">BG191+BK191</f>
        <v>189</v>
      </c>
      <c r="BN191" s="38" t="n">
        <f aca="false">BL191+BM191</f>
        <v>319</v>
      </c>
      <c r="BO191" s="39" t="n">
        <f aca="false">BN191/N191*100</f>
        <v>93.002915451895</v>
      </c>
      <c r="BP191" s="10" t="n">
        <v>28</v>
      </c>
      <c r="BQ191" s="10" t="n">
        <v>0</v>
      </c>
      <c r="BR191" s="10" t="n">
        <v>0</v>
      </c>
      <c r="BS191" s="10" t="n">
        <v>17</v>
      </c>
      <c r="BT191" s="10" t="n">
        <v>0</v>
      </c>
      <c r="BU191" s="10" t="n">
        <v>0</v>
      </c>
    </row>
    <row r="192" customFormat="false" ht="32.25" hidden="false" customHeight="true" outlineLevel="0" collapsed="false">
      <c r="A192" s="27" t="n">
        <v>5</v>
      </c>
      <c r="B192" s="28" t="s">
        <v>46</v>
      </c>
      <c r="C192" s="10" t="n">
        <v>2</v>
      </c>
      <c r="D192" s="10" t="n">
        <v>0</v>
      </c>
      <c r="E192" s="10" t="n">
        <v>2</v>
      </c>
      <c r="F192" s="10" t="n">
        <v>0</v>
      </c>
      <c r="G192" s="10" t="n">
        <v>0</v>
      </c>
      <c r="H192" s="29" t="n">
        <v>238</v>
      </c>
      <c r="I192" s="29" t="n">
        <v>239</v>
      </c>
      <c r="J192" s="30" t="n">
        <v>95</v>
      </c>
      <c r="K192" s="30" t="n">
        <v>114</v>
      </c>
      <c r="L192" s="30" t="n">
        <v>55</v>
      </c>
      <c r="M192" s="30" t="n">
        <v>67</v>
      </c>
      <c r="N192" s="31" t="n">
        <f aca="false">SUM(J192:M192)</f>
        <v>331</v>
      </c>
      <c r="O192" s="32" t="n">
        <v>0</v>
      </c>
      <c r="P192" s="33" t="n">
        <f aca="false">P170+Q170</f>
        <v>47</v>
      </c>
      <c r="Q192" s="43"/>
      <c r="R192" s="33" t="n">
        <f aca="false">R170+S170</f>
        <v>83</v>
      </c>
      <c r="S192" s="33"/>
      <c r="T192" s="33" t="n">
        <f aca="false">T170+U170</f>
        <v>68</v>
      </c>
      <c r="U192" s="34"/>
      <c r="V192" s="33" t="n">
        <f aca="false">V170+W170</f>
        <v>65</v>
      </c>
      <c r="W192" s="34"/>
      <c r="X192" s="33" t="n">
        <f aca="false">X170+Y170</f>
        <v>17</v>
      </c>
      <c r="Y192" s="34"/>
      <c r="Z192" s="33" t="n">
        <f aca="false">Z170+AA170</f>
        <v>27</v>
      </c>
      <c r="AA192" s="34"/>
      <c r="AB192" s="33" t="n">
        <f aca="false">AB170+AC170</f>
        <v>12</v>
      </c>
      <c r="AC192" s="43"/>
      <c r="AD192" s="33" t="n">
        <f aca="false">AD170+AE170</f>
        <v>40</v>
      </c>
      <c r="AE192" s="33"/>
      <c r="AF192" s="33" t="n">
        <f aca="false">AF170+AG170</f>
        <v>13</v>
      </c>
      <c r="AG192" s="34"/>
      <c r="AH192" s="33" t="n">
        <f aca="false">AH170+AI170</f>
        <v>35</v>
      </c>
      <c r="AI192" s="34"/>
      <c r="AJ192" s="33" t="n">
        <f aca="false">AJ170+AK170</f>
        <v>8</v>
      </c>
      <c r="AK192" s="34"/>
      <c r="AL192" s="33" t="n">
        <f aca="false">AL170+AM170</f>
        <v>9</v>
      </c>
      <c r="AM192" s="34"/>
      <c r="AN192" s="35" t="n">
        <f aca="false">P192+AB192</f>
        <v>59</v>
      </c>
      <c r="AO192" s="35" t="n">
        <f aca="false">Q192+AC192</f>
        <v>0</v>
      </c>
      <c r="AP192" s="35" t="n">
        <f aca="false">R192+AD192</f>
        <v>123</v>
      </c>
      <c r="AQ192" s="35" t="n">
        <f aca="false">S192+AE192</f>
        <v>0</v>
      </c>
      <c r="AR192" s="35" t="n">
        <f aca="false">T192+AF192</f>
        <v>81</v>
      </c>
      <c r="AS192" s="35" t="n">
        <f aca="false">U192+AG192</f>
        <v>0</v>
      </c>
      <c r="AT192" s="35" t="n">
        <f aca="false">V192+AH192</f>
        <v>100</v>
      </c>
      <c r="AU192" s="35" t="n">
        <f aca="false">W192+AI192</f>
        <v>0</v>
      </c>
      <c r="AV192" s="35" t="n">
        <f aca="false">X192+AJ192</f>
        <v>25</v>
      </c>
      <c r="AW192" s="35" t="n">
        <f aca="false">Y192+AK192</f>
        <v>0</v>
      </c>
      <c r="AX192" s="35" t="n">
        <f aca="false">Z192+AL192</f>
        <v>36</v>
      </c>
      <c r="AY192" s="35" t="n">
        <f aca="false">AA192+AM192</f>
        <v>0</v>
      </c>
      <c r="AZ192" s="36" t="n">
        <f aca="false">AO192</f>
        <v>0</v>
      </c>
      <c r="BA192" s="36" t="n">
        <f aca="false">SUM(AN192:AO192)</f>
        <v>59</v>
      </c>
      <c r="BB192" s="36" t="n">
        <f aca="false">S192+AE192</f>
        <v>0</v>
      </c>
      <c r="BC192" s="36" t="n">
        <f aca="false">SUM(AP192:AQ192)</f>
        <v>123</v>
      </c>
      <c r="BD192" s="36" t="n">
        <f aca="false">U192+AG192</f>
        <v>0</v>
      </c>
      <c r="BE192" s="36" t="n">
        <f aca="false">SUM(AR192:AS192)</f>
        <v>81</v>
      </c>
      <c r="BF192" s="36" t="n">
        <f aca="false">W192+AI192</f>
        <v>0</v>
      </c>
      <c r="BG192" s="36" t="n">
        <f aca="false">SUM(AT192:AU192)</f>
        <v>100</v>
      </c>
      <c r="BH192" s="36" t="n">
        <f aca="false">Y192+AK192</f>
        <v>0</v>
      </c>
      <c r="BI192" s="36" t="n">
        <f aca="false">SUM(AV192:AW192)</f>
        <v>25</v>
      </c>
      <c r="BJ192" s="36" t="n">
        <f aca="false">AA192+AM192</f>
        <v>0</v>
      </c>
      <c r="BK192" s="36" t="n">
        <f aca="false">SUM(AX192:AY192)</f>
        <v>36</v>
      </c>
      <c r="BL192" s="37" t="n">
        <f aca="false">BE192+BI192</f>
        <v>106</v>
      </c>
      <c r="BM192" s="37" t="n">
        <f aca="false">BG192+BK192</f>
        <v>136</v>
      </c>
      <c r="BN192" s="38" t="n">
        <f aca="false">BL192+BM192</f>
        <v>242</v>
      </c>
      <c r="BO192" s="39" t="n">
        <f aca="false">BN192/N192*100</f>
        <v>73.1117824773414</v>
      </c>
      <c r="BP192" s="10" t="n">
        <v>27</v>
      </c>
      <c r="BQ192" s="10" t="n">
        <v>0</v>
      </c>
      <c r="BR192" s="10" t="n">
        <v>0</v>
      </c>
      <c r="BS192" s="10" t="n">
        <v>5</v>
      </c>
      <c r="BT192" s="10" t="n">
        <v>0</v>
      </c>
      <c r="BU192" s="10" t="n">
        <v>0</v>
      </c>
    </row>
    <row r="193" customFormat="false" ht="32.25" hidden="false" customHeight="true" outlineLevel="0" collapsed="false">
      <c r="A193" s="27" t="n">
        <v>5</v>
      </c>
      <c r="B193" s="28" t="s">
        <v>47</v>
      </c>
      <c r="C193" s="10" t="n">
        <v>3</v>
      </c>
      <c r="D193" s="10" t="n">
        <v>0</v>
      </c>
      <c r="E193" s="10" t="n">
        <v>3</v>
      </c>
      <c r="F193" s="10" t="n">
        <v>0</v>
      </c>
      <c r="G193" s="10" t="n">
        <v>0</v>
      </c>
      <c r="H193" s="29" t="n">
        <v>302</v>
      </c>
      <c r="I193" s="29" t="n">
        <v>303</v>
      </c>
      <c r="J193" s="30" t="n">
        <v>155</v>
      </c>
      <c r="K193" s="30" t="n">
        <v>110</v>
      </c>
      <c r="L193" s="30" t="n">
        <v>75</v>
      </c>
      <c r="M193" s="30" t="n">
        <v>80</v>
      </c>
      <c r="N193" s="31" t="n">
        <f aca="false">SUM(J193:M193)</f>
        <v>420</v>
      </c>
      <c r="O193" s="32" t="n">
        <v>0</v>
      </c>
      <c r="P193" s="33" t="n">
        <f aca="false">P171+Q171</f>
        <v>65</v>
      </c>
      <c r="Q193" s="33"/>
      <c r="R193" s="33" t="n">
        <f aca="false">R171+S171</f>
        <v>84</v>
      </c>
      <c r="S193" s="33"/>
      <c r="T193" s="33" t="n">
        <f aca="false">T171+U171</f>
        <v>43</v>
      </c>
      <c r="U193" s="34"/>
      <c r="V193" s="33" t="n">
        <f aca="false">V171+W171</f>
        <v>38</v>
      </c>
      <c r="W193" s="34"/>
      <c r="X193" s="33" t="n">
        <f aca="false">X171+Y171</f>
        <v>26</v>
      </c>
      <c r="Y193" s="34"/>
      <c r="Z193" s="33" t="n">
        <f aca="false">Z171+AA171</f>
        <v>33</v>
      </c>
      <c r="AA193" s="34"/>
      <c r="AB193" s="33" t="n">
        <f aca="false">AB171+AC171</f>
        <v>25</v>
      </c>
      <c r="AC193" s="33"/>
      <c r="AD193" s="33" t="n">
        <f aca="false">AD171+AE171</f>
        <v>30</v>
      </c>
      <c r="AE193" s="33"/>
      <c r="AF193" s="33" t="n">
        <f aca="false">AF171+AG171</f>
        <v>27</v>
      </c>
      <c r="AG193" s="34"/>
      <c r="AH193" s="33" t="n">
        <f aca="false">AH171+AI171</f>
        <v>29</v>
      </c>
      <c r="AI193" s="34"/>
      <c r="AJ193" s="33" t="n">
        <f aca="false">AJ171+AK171</f>
        <v>20</v>
      </c>
      <c r="AK193" s="34"/>
      <c r="AL193" s="33" t="n">
        <f aca="false">AL171+AM171</f>
        <v>19</v>
      </c>
      <c r="AM193" s="34"/>
      <c r="AN193" s="35" t="n">
        <f aca="false">P193+AB193</f>
        <v>90</v>
      </c>
      <c r="AO193" s="35" t="n">
        <f aca="false">Q193+AC193</f>
        <v>0</v>
      </c>
      <c r="AP193" s="35" t="n">
        <f aca="false">R193+AD193</f>
        <v>114</v>
      </c>
      <c r="AQ193" s="35" t="n">
        <f aca="false">S193+AE193</f>
        <v>0</v>
      </c>
      <c r="AR193" s="35" t="n">
        <f aca="false">T193+AF193</f>
        <v>70</v>
      </c>
      <c r="AS193" s="35" t="n">
        <f aca="false">U193+AG193</f>
        <v>0</v>
      </c>
      <c r="AT193" s="35" t="n">
        <f aca="false">V193+AH193</f>
        <v>67</v>
      </c>
      <c r="AU193" s="35" t="n">
        <f aca="false">W193+AI193</f>
        <v>0</v>
      </c>
      <c r="AV193" s="35" t="n">
        <f aca="false">X193+AJ193</f>
        <v>46</v>
      </c>
      <c r="AW193" s="35" t="n">
        <f aca="false">Y193+AK193</f>
        <v>0</v>
      </c>
      <c r="AX193" s="35" t="n">
        <f aca="false">Z193+AL193</f>
        <v>52</v>
      </c>
      <c r="AY193" s="35" t="n">
        <f aca="false">AA193+AM193</f>
        <v>0</v>
      </c>
      <c r="AZ193" s="36" t="n">
        <f aca="false">AO193</f>
        <v>0</v>
      </c>
      <c r="BA193" s="36" t="n">
        <f aca="false">SUM(AN193:AO193)</f>
        <v>90</v>
      </c>
      <c r="BB193" s="36" t="n">
        <f aca="false">S193+AE193</f>
        <v>0</v>
      </c>
      <c r="BC193" s="36" t="n">
        <f aca="false">SUM(AP193:AQ193)</f>
        <v>114</v>
      </c>
      <c r="BD193" s="36" t="n">
        <f aca="false">U193+AG193</f>
        <v>0</v>
      </c>
      <c r="BE193" s="36" t="n">
        <f aca="false">SUM(AR193:AS193)</f>
        <v>70</v>
      </c>
      <c r="BF193" s="36" t="n">
        <f aca="false">W193+AI193</f>
        <v>0</v>
      </c>
      <c r="BG193" s="36" t="n">
        <f aca="false">SUM(AT193:AU193)</f>
        <v>67</v>
      </c>
      <c r="BH193" s="36" t="n">
        <f aca="false">Y193+AK193</f>
        <v>0</v>
      </c>
      <c r="BI193" s="36" t="n">
        <f aca="false">SUM(AV193:AW193)</f>
        <v>46</v>
      </c>
      <c r="BJ193" s="36" t="n">
        <f aca="false">AA193+AM193</f>
        <v>0</v>
      </c>
      <c r="BK193" s="36" t="n">
        <f aca="false">SUM(AX193:AY193)</f>
        <v>52</v>
      </c>
      <c r="BL193" s="37" t="n">
        <f aca="false">BE193+BI193</f>
        <v>116</v>
      </c>
      <c r="BM193" s="37" t="n">
        <f aca="false">BG193+BK193</f>
        <v>119</v>
      </c>
      <c r="BN193" s="38" t="n">
        <f aca="false">BL193+BM193</f>
        <v>235</v>
      </c>
      <c r="BO193" s="39" t="n">
        <f aca="false">BN193/N193*100</f>
        <v>55.952380952381</v>
      </c>
      <c r="BP193" s="10" t="n">
        <v>10</v>
      </c>
      <c r="BQ193" s="10" t="n">
        <v>1</v>
      </c>
      <c r="BR193" s="10" t="n">
        <v>0</v>
      </c>
      <c r="BS193" s="10" t="n">
        <v>6</v>
      </c>
      <c r="BT193" s="10" t="n">
        <v>0</v>
      </c>
      <c r="BU193" s="10" t="n">
        <v>0</v>
      </c>
    </row>
    <row r="194" customFormat="false" ht="36.75" hidden="false" customHeight="true" outlineLevel="0" collapsed="false">
      <c r="A194" s="15" t="s">
        <v>48</v>
      </c>
      <c r="B194" s="15"/>
      <c r="C194" s="21" t="n">
        <f aca="false">SUM(C188:C193)</f>
        <v>15</v>
      </c>
      <c r="D194" s="21" t="n">
        <f aca="false">SUM(D188:D193)</f>
        <v>0</v>
      </c>
      <c r="E194" s="21" t="n">
        <f aca="false">SUM(E188:E193)</f>
        <v>15</v>
      </c>
      <c r="F194" s="21" t="n">
        <f aca="false">SUM(F188:F193)</f>
        <v>0</v>
      </c>
      <c r="G194" s="21" t="n">
        <f aca="false">SUM(G188:G193)</f>
        <v>0</v>
      </c>
      <c r="H194" s="31" t="n">
        <f aca="false">SUM(H188:H193)</f>
        <v>1548</v>
      </c>
      <c r="I194" s="31" t="n">
        <f aca="false">SUM(I188:I193)</f>
        <v>1604</v>
      </c>
      <c r="J194" s="31" t="n">
        <f aca="false">SUM(J188:J193)</f>
        <v>765</v>
      </c>
      <c r="K194" s="31" t="n">
        <f aca="false">SUM(K188:K193)</f>
        <v>814</v>
      </c>
      <c r="L194" s="31" t="n">
        <f aca="false">SUM(L188:L193)</f>
        <v>440</v>
      </c>
      <c r="M194" s="31" t="n">
        <f aca="false">SUM(M188:M193)</f>
        <v>480</v>
      </c>
      <c r="N194" s="31" t="n">
        <f aca="false">SUM(J194:M194)</f>
        <v>2499</v>
      </c>
      <c r="O194" s="31" t="n">
        <v>1506</v>
      </c>
      <c r="P194" s="21" t="n">
        <f aca="false">SUM(P188:P193)</f>
        <v>330</v>
      </c>
      <c r="Q194" s="21" t="n">
        <f aca="false">SUM(Q188:Q193)</f>
        <v>0</v>
      </c>
      <c r="R194" s="21" t="n">
        <f aca="false">SUM(R188:R193)</f>
        <v>626</v>
      </c>
      <c r="S194" s="21" t="n">
        <f aca="false">SUM(S188:S193)</f>
        <v>0</v>
      </c>
      <c r="T194" s="21" t="n">
        <f aca="false">SUM(T188:T193)</f>
        <v>319</v>
      </c>
      <c r="U194" s="44" t="n">
        <f aca="false">SUM(U188:U193)</f>
        <v>0</v>
      </c>
      <c r="V194" s="44" t="n">
        <f aca="false">SUM(V188:V193)</f>
        <v>390</v>
      </c>
      <c r="W194" s="44" t="n">
        <f aca="false">SUM(W188:W193)</f>
        <v>0</v>
      </c>
      <c r="X194" s="44" t="n">
        <f aca="false">SUM(X188:X193)</f>
        <v>233</v>
      </c>
      <c r="Y194" s="44" t="n">
        <f aca="false">SUM(Y188:Y193)</f>
        <v>0</v>
      </c>
      <c r="Z194" s="44" t="n">
        <f aca="false">SUM(Z188:Z193)</f>
        <v>253</v>
      </c>
      <c r="AA194" s="44" t="n">
        <f aca="false">SUM(AA188:AA193)</f>
        <v>0</v>
      </c>
      <c r="AB194" s="21" t="n">
        <f aca="false">SUM(AB188:AB193)</f>
        <v>190</v>
      </c>
      <c r="AC194" s="21" t="n">
        <f aca="false">SUM(AC188:AC193)</f>
        <v>0</v>
      </c>
      <c r="AD194" s="21" t="n">
        <f aca="false">SUM(AD188:AD193)</f>
        <v>278</v>
      </c>
      <c r="AE194" s="21" t="n">
        <f aca="false">SUM(AE188:AE193)</f>
        <v>0</v>
      </c>
      <c r="AF194" s="44" t="n">
        <f aca="false">SUM(AF188:AF193)</f>
        <v>196</v>
      </c>
      <c r="AG194" s="44" t="n">
        <f aca="false">SUM(AG188:AG193)</f>
        <v>0</v>
      </c>
      <c r="AH194" s="44" t="n">
        <f aca="false">SUM(AH188:AH193)</f>
        <v>259</v>
      </c>
      <c r="AI194" s="44" t="n">
        <f aca="false">SUM(AI188:AI193)</f>
        <v>0</v>
      </c>
      <c r="AJ194" s="44" t="n">
        <f aca="false">SUM(AJ188:AJ193)</f>
        <v>129</v>
      </c>
      <c r="AK194" s="44" t="n">
        <f aca="false">SUM(AK188:AK193)</f>
        <v>0</v>
      </c>
      <c r="AL194" s="44" t="n">
        <f aca="false">SUM(AL188:AL193)</f>
        <v>153</v>
      </c>
      <c r="AM194" s="44" t="n">
        <f aca="false">SUM(AM188:AM193)</f>
        <v>0</v>
      </c>
      <c r="AN194" s="21" t="n">
        <f aca="false">SUM(AN188:AN193)</f>
        <v>520</v>
      </c>
      <c r="AO194" s="21" t="n">
        <f aca="false">SUM(AO188:AO193)</f>
        <v>0</v>
      </c>
      <c r="AP194" s="21" t="n">
        <f aca="false">SUM(AP188:AP193)</f>
        <v>904</v>
      </c>
      <c r="AQ194" s="21" t="n">
        <f aca="false">SUM(AQ188:AQ193)</f>
        <v>0</v>
      </c>
      <c r="AR194" s="44" t="n">
        <f aca="false">SUM(AR188:AR193)</f>
        <v>515</v>
      </c>
      <c r="AS194" s="44" t="n">
        <f aca="false">SUM(AS188:AS193)</f>
        <v>0</v>
      </c>
      <c r="AT194" s="44" t="n">
        <f aca="false">SUM(AT188:AT193)</f>
        <v>649</v>
      </c>
      <c r="AU194" s="44" t="n">
        <f aca="false">SUM(AU188:AU193)</f>
        <v>0</v>
      </c>
      <c r="AV194" s="44" t="n">
        <f aca="false">SUM(AV188:AV193)</f>
        <v>362</v>
      </c>
      <c r="AW194" s="44" t="n">
        <f aca="false">SUM(AW188:AW193)</f>
        <v>0</v>
      </c>
      <c r="AX194" s="44" t="n">
        <f aca="false">SUM(AX188:AX193)</f>
        <v>406</v>
      </c>
      <c r="AY194" s="44" t="n">
        <f aca="false">SUM(AY188:AY193)</f>
        <v>0</v>
      </c>
      <c r="AZ194" s="21" t="n">
        <f aca="false">SUM(AZ188:AZ193)</f>
        <v>0</v>
      </c>
      <c r="BA194" s="21" t="n">
        <f aca="false">SUM(BA188:BA193)</f>
        <v>520</v>
      </c>
      <c r="BB194" s="21" t="n">
        <f aca="false">SUM(BB188:BB193)</f>
        <v>0</v>
      </c>
      <c r="BC194" s="21" t="n">
        <f aca="false">SUM(BC188:BC193)</f>
        <v>904</v>
      </c>
      <c r="BD194" s="21" t="n">
        <f aca="false">SUM(BD188:BD193)</f>
        <v>0</v>
      </c>
      <c r="BE194" s="21" t="n">
        <f aca="false">SUM(BE188:BE193)</f>
        <v>515</v>
      </c>
      <c r="BF194" s="21" t="n">
        <f aca="false">SUM(BF188:BF193)</f>
        <v>0</v>
      </c>
      <c r="BG194" s="21" t="n">
        <f aca="false">SUM(BG188:BG193)</f>
        <v>649</v>
      </c>
      <c r="BH194" s="21" t="n">
        <f aca="false">SUM(BH188:BH193)</f>
        <v>0</v>
      </c>
      <c r="BI194" s="21" t="n">
        <f aca="false">SUM(BI188:BI193)</f>
        <v>362</v>
      </c>
      <c r="BJ194" s="21" t="n">
        <f aca="false">SUM(BJ188:BJ193)</f>
        <v>0</v>
      </c>
      <c r="BK194" s="21" t="n">
        <f aca="false">SUM(BK188:BK193)</f>
        <v>406</v>
      </c>
      <c r="BL194" s="21" t="n">
        <f aca="false">SUM(BL188:BL193)</f>
        <v>877</v>
      </c>
      <c r="BM194" s="21" t="n">
        <f aca="false">SUM(BM188:BM193)</f>
        <v>1055</v>
      </c>
      <c r="BN194" s="45" t="n">
        <f aca="false">SUM(BN188:BN193)</f>
        <v>1932</v>
      </c>
      <c r="BO194" s="45" t="n">
        <f aca="false">BN194/N194*100</f>
        <v>77.3109243697479</v>
      </c>
      <c r="BP194" s="21" t="n">
        <f aca="false">SUM(BP188:BP193)</f>
        <v>128</v>
      </c>
      <c r="BQ194" s="21" t="n">
        <f aca="false">SUM(BQ188:BQ193)</f>
        <v>1</v>
      </c>
      <c r="BR194" s="21" t="n">
        <f aca="false">SUM(BR188:BR193)</f>
        <v>0</v>
      </c>
      <c r="BS194" s="21" t="n">
        <f aca="false">SUM(BS188:BS193)</f>
        <v>70</v>
      </c>
      <c r="BT194" s="21" t="n">
        <f aca="false">SUM(BT188:BT193)</f>
        <v>0</v>
      </c>
      <c r="BU194" s="21" t="n">
        <f aca="false">SUM(BU188:BU193)</f>
        <v>0</v>
      </c>
    </row>
    <row r="195" customFormat="false" ht="15.75" hidden="false" customHeight="false" outlineLevel="0" collapsed="false"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</row>
    <row r="196" customFormat="false" ht="15.75" hidden="false" customHeight="false" outlineLevel="0" collapsed="false"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</row>
    <row r="197" customFormat="false" ht="15.75" hidden="false" customHeight="false" outlineLevel="0" collapsed="false"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</row>
    <row r="198" customFormat="false" ht="15.75" hidden="false" customHeight="false" outlineLevel="0" collapsed="false"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</row>
    <row r="199" customFormat="false" ht="15.75" hidden="false" customHeight="false" outlineLevel="0" collapsed="false">
      <c r="A199" s="2" t="s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</row>
    <row r="201" customFormat="false" ht="15.75" hidden="false" customHeight="false" outlineLevel="0" collapsed="false">
      <c r="A201" s="3" t="s">
        <v>1</v>
      </c>
      <c r="B201" s="4"/>
      <c r="C201" s="4" t="s">
        <v>2</v>
      </c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</row>
    <row r="202" customFormat="false" ht="15.75" hidden="false" customHeight="false" outlineLevel="0" collapsed="false">
      <c r="A202" s="3" t="s">
        <v>3</v>
      </c>
      <c r="B202" s="4"/>
      <c r="C202" s="4" t="s">
        <v>4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</row>
    <row r="203" customFormat="false" ht="15.75" hidden="false" customHeight="false" outlineLevel="0" collapsed="false">
      <c r="A203" s="3" t="s">
        <v>5</v>
      </c>
      <c r="B203" s="4"/>
      <c r="C203" s="4" t="s">
        <v>63</v>
      </c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</row>
    <row r="204" customFormat="false" ht="15.75" hidden="false" customHeight="false" outlineLevel="0" collapsed="false">
      <c r="A204" s="4"/>
      <c r="B204" s="4"/>
      <c r="C204" s="4"/>
      <c r="D204" s="4"/>
      <c r="E204" s="4"/>
      <c r="F204" s="4"/>
      <c r="G204" s="4"/>
      <c r="H204" s="5"/>
      <c r="I204" s="5"/>
      <c r="J204" s="5"/>
      <c r="K204" s="5"/>
      <c r="L204" s="5"/>
      <c r="M204" s="5"/>
      <c r="N204" s="5"/>
      <c r="O204" s="5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</row>
    <row r="205" customFormat="false" ht="33.75" hidden="false" customHeight="true" outlineLevel="0" collapsed="false">
      <c r="A205" s="7" t="s">
        <v>7</v>
      </c>
      <c r="B205" s="8" t="s">
        <v>8</v>
      </c>
      <c r="C205" s="8" t="s">
        <v>9</v>
      </c>
      <c r="D205" s="9" t="s">
        <v>10</v>
      </c>
      <c r="E205" s="9" t="s">
        <v>11</v>
      </c>
      <c r="F205" s="9" t="s">
        <v>12</v>
      </c>
      <c r="G205" s="9" t="s">
        <v>13</v>
      </c>
      <c r="H205" s="10" t="s">
        <v>14</v>
      </c>
      <c r="I205" s="10"/>
      <c r="J205" s="10"/>
      <c r="K205" s="10"/>
      <c r="L205" s="10"/>
      <c r="M205" s="11"/>
      <c r="N205" s="11"/>
      <c r="O205" s="8" t="s">
        <v>15</v>
      </c>
      <c r="P205" s="11" t="s">
        <v>16</v>
      </c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0" t="s">
        <v>17</v>
      </c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7" t="s">
        <v>18</v>
      </c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 t="s">
        <v>19</v>
      </c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8" t="s">
        <v>20</v>
      </c>
      <c r="BM205" s="8"/>
      <c r="BN205" s="8"/>
      <c r="BO205" s="8"/>
      <c r="BP205" s="7" t="s">
        <v>21</v>
      </c>
      <c r="BQ205" s="7"/>
      <c r="BR205" s="7"/>
      <c r="BS205" s="7" t="s">
        <v>21</v>
      </c>
      <c r="BT205" s="7"/>
      <c r="BU205" s="7"/>
    </row>
    <row r="206" customFormat="false" ht="44.25" hidden="false" customHeight="true" outlineLevel="0" collapsed="false">
      <c r="A206" s="7"/>
      <c r="B206" s="8"/>
      <c r="C206" s="8"/>
      <c r="D206" s="9"/>
      <c r="E206" s="9"/>
      <c r="F206" s="9"/>
      <c r="G206" s="9"/>
      <c r="H206" s="7" t="s">
        <v>22</v>
      </c>
      <c r="I206" s="7"/>
      <c r="J206" s="7" t="s">
        <v>23</v>
      </c>
      <c r="K206" s="7"/>
      <c r="L206" s="7" t="s">
        <v>24</v>
      </c>
      <c r="M206" s="7"/>
      <c r="N206" s="12" t="s">
        <v>25</v>
      </c>
      <c r="O206" s="8"/>
      <c r="P206" s="11" t="s">
        <v>22</v>
      </c>
      <c r="Q206" s="11"/>
      <c r="R206" s="11"/>
      <c r="S206" s="11"/>
      <c r="T206" s="10" t="s">
        <v>23</v>
      </c>
      <c r="U206" s="10"/>
      <c r="V206" s="10"/>
      <c r="W206" s="10"/>
      <c r="X206" s="10" t="s">
        <v>24</v>
      </c>
      <c r="Y206" s="10"/>
      <c r="Z206" s="10"/>
      <c r="AA206" s="10"/>
      <c r="AB206" s="10" t="s">
        <v>22</v>
      </c>
      <c r="AC206" s="10"/>
      <c r="AD206" s="10"/>
      <c r="AE206" s="10"/>
      <c r="AF206" s="10" t="s">
        <v>23</v>
      </c>
      <c r="AG206" s="10"/>
      <c r="AH206" s="10"/>
      <c r="AI206" s="10"/>
      <c r="AJ206" s="10" t="s">
        <v>24</v>
      </c>
      <c r="AK206" s="10"/>
      <c r="AL206" s="10"/>
      <c r="AM206" s="10"/>
      <c r="AN206" s="7" t="s">
        <v>22</v>
      </c>
      <c r="AO206" s="7"/>
      <c r="AP206" s="7"/>
      <c r="AQ206" s="7"/>
      <c r="AR206" s="7" t="s">
        <v>23</v>
      </c>
      <c r="AS206" s="7"/>
      <c r="AT206" s="7"/>
      <c r="AU206" s="7"/>
      <c r="AV206" s="7" t="s">
        <v>24</v>
      </c>
      <c r="AW206" s="7"/>
      <c r="AX206" s="7"/>
      <c r="AY206" s="7"/>
      <c r="AZ206" s="7" t="s">
        <v>22</v>
      </c>
      <c r="BA206" s="7"/>
      <c r="BB206" s="7"/>
      <c r="BC206" s="7"/>
      <c r="BD206" s="7" t="s">
        <v>23</v>
      </c>
      <c r="BE206" s="7"/>
      <c r="BF206" s="7"/>
      <c r="BG206" s="7"/>
      <c r="BH206" s="7" t="s">
        <v>24</v>
      </c>
      <c r="BI206" s="7"/>
      <c r="BJ206" s="7"/>
      <c r="BK206" s="7"/>
      <c r="BL206" s="7" t="s">
        <v>26</v>
      </c>
      <c r="BM206" s="7"/>
      <c r="BN206" s="7"/>
      <c r="BO206" s="7"/>
      <c r="BP206" s="7" t="s">
        <v>27</v>
      </c>
      <c r="BQ206" s="7"/>
      <c r="BR206" s="7"/>
      <c r="BS206" s="7" t="s">
        <v>28</v>
      </c>
      <c r="BT206" s="7"/>
      <c r="BU206" s="7"/>
    </row>
    <row r="207" customFormat="false" ht="27" hidden="false" customHeight="true" outlineLevel="0" collapsed="false">
      <c r="A207" s="7"/>
      <c r="B207" s="8"/>
      <c r="C207" s="8"/>
      <c r="D207" s="9"/>
      <c r="E207" s="9"/>
      <c r="F207" s="9"/>
      <c r="G207" s="9"/>
      <c r="H207" s="7" t="s">
        <v>29</v>
      </c>
      <c r="I207" s="7" t="s">
        <v>30</v>
      </c>
      <c r="J207" s="7" t="s">
        <v>29</v>
      </c>
      <c r="K207" s="7" t="s">
        <v>30</v>
      </c>
      <c r="L207" s="7" t="s">
        <v>29</v>
      </c>
      <c r="M207" s="7" t="s">
        <v>30</v>
      </c>
      <c r="N207" s="12"/>
      <c r="O207" s="8"/>
      <c r="P207" s="11" t="s">
        <v>29</v>
      </c>
      <c r="Q207" s="11"/>
      <c r="R207" s="10" t="s">
        <v>30</v>
      </c>
      <c r="S207" s="10"/>
      <c r="T207" s="10" t="s">
        <v>29</v>
      </c>
      <c r="U207" s="10"/>
      <c r="V207" s="10" t="s">
        <v>30</v>
      </c>
      <c r="W207" s="10"/>
      <c r="X207" s="10" t="s">
        <v>29</v>
      </c>
      <c r="Y207" s="10"/>
      <c r="Z207" s="10" t="s">
        <v>30</v>
      </c>
      <c r="AA207" s="10"/>
      <c r="AB207" s="10" t="s">
        <v>29</v>
      </c>
      <c r="AC207" s="10"/>
      <c r="AD207" s="10" t="s">
        <v>30</v>
      </c>
      <c r="AE207" s="10"/>
      <c r="AF207" s="10" t="s">
        <v>29</v>
      </c>
      <c r="AG207" s="10"/>
      <c r="AH207" s="10" t="s">
        <v>30</v>
      </c>
      <c r="AI207" s="10"/>
      <c r="AJ207" s="10" t="s">
        <v>29</v>
      </c>
      <c r="AK207" s="10"/>
      <c r="AL207" s="10" t="s">
        <v>30</v>
      </c>
      <c r="AM207" s="10"/>
      <c r="AN207" s="13" t="s">
        <v>29</v>
      </c>
      <c r="AO207" s="13"/>
      <c r="AP207" s="13" t="s">
        <v>30</v>
      </c>
      <c r="AQ207" s="13"/>
      <c r="AR207" s="13" t="s">
        <v>29</v>
      </c>
      <c r="AS207" s="13"/>
      <c r="AT207" s="13" t="s">
        <v>30</v>
      </c>
      <c r="AU207" s="13"/>
      <c r="AV207" s="13" t="s">
        <v>29</v>
      </c>
      <c r="AW207" s="13"/>
      <c r="AX207" s="13" t="s">
        <v>30</v>
      </c>
      <c r="AY207" s="13"/>
      <c r="AZ207" s="14" t="s">
        <v>29</v>
      </c>
      <c r="BA207" s="14"/>
      <c r="BB207" s="14" t="s">
        <v>30</v>
      </c>
      <c r="BC207" s="14"/>
      <c r="BD207" s="14" t="s">
        <v>29</v>
      </c>
      <c r="BE207" s="14"/>
      <c r="BF207" s="14" t="s">
        <v>30</v>
      </c>
      <c r="BG207" s="14"/>
      <c r="BH207" s="14" t="s">
        <v>29</v>
      </c>
      <c r="BI207" s="14"/>
      <c r="BJ207" s="14" t="s">
        <v>30</v>
      </c>
      <c r="BK207" s="14"/>
      <c r="BL207" s="15" t="s">
        <v>29</v>
      </c>
      <c r="BM207" s="15" t="s">
        <v>30</v>
      </c>
      <c r="BN207" s="15" t="s">
        <v>31</v>
      </c>
      <c r="BO207" s="15" t="s">
        <v>32</v>
      </c>
      <c r="BP207" s="7" t="s">
        <v>33</v>
      </c>
      <c r="BQ207" s="7" t="s">
        <v>34</v>
      </c>
      <c r="BR207" s="7" t="s">
        <v>35</v>
      </c>
      <c r="BS207" s="7" t="s">
        <v>33</v>
      </c>
      <c r="BT207" s="7" t="s">
        <v>34</v>
      </c>
      <c r="BU207" s="7" t="s">
        <v>35</v>
      </c>
    </row>
    <row r="208" customFormat="false" ht="85.5" hidden="false" customHeight="true" outlineLevel="0" collapsed="false">
      <c r="A208" s="7"/>
      <c r="B208" s="8"/>
      <c r="C208" s="8"/>
      <c r="D208" s="9"/>
      <c r="E208" s="9"/>
      <c r="F208" s="9"/>
      <c r="G208" s="9"/>
      <c r="H208" s="7"/>
      <c r="I208" s="7"/>
      <c r="J208" s="7"/>
      <c r="K208" s="7"/>
      <c r="L208" s="7"/>
      <c r="M208" s="7"/>
      <c r="N208" s="12"/>
      <c r="O208" s="8"/>
      <c r="P208" s="16" t="s">
        <v>36</v>
      </c>
      <c r="Q208" s="17" t="s">
        <v>37</v>
      </c>
      <c r="R208" s="17" t="s">
        <v>36</v>
      </c>
      <c r="S208" s="17" t="s">
        <v>37</v>
      </c>
      <c r="T208" s="17" t="s">
        <v>36</v>
      </c>
      <c r="U208" s="17" t="s">
        <v>37</v>
      </c>
      <c r="V208" s="17" t="s">
        <v>36</v>
      </c>
      <c r="W208" s="17" t="s">
        <v>37</v>
      </c>
      <c r="X208" s="17" t="s">
        <v>36</v>
      </c>
      <c r="Y208" s="17" t="s">
        <v>37</v>
      </c>
      <c r="Z208" s="17" t="s">
        <v>36</v>
      </c>
      <c r="AA208" s="17" t="s">
        <v>37</v>
      </c>
      <c r="AB208" s="17" t="s">
        <v>36</v>
      </c>
      <c r="AC208" s="17" t="s">
        <v>37</v>
      </c>
      <c r="AD208" s="17" t="s">
        <v>36</v>
      </c>
      <c r="AE208" s="17" t="s">
        <v>37</v>
      </c>
      <c r="AF208" s="17" t="s">
        <v>36</v>
      </c>
      <c r="AG208" s="17" t="s">
        <v>37</v>
      </c>
      <c r="AH208" s="17" t="s">
        <v>36</v>
      </c>
      <c r="AI208" s="17" t="s">
        <v>37</v>
      </c>
      <c r="AJ208" s="17" t="s">
        <v>36</v>
      </c>
      <c r="AK208" s="17" t="s">
        <v>37</v>
      </c>
      <c r="AL208" s="17" t="s">
        <v>36</v>
      </c>
      <c r="AM208" s="17" t="s">
        <v>37</v>
      </c>
      <c r="AN208" s="18" t="s">
        <v>38</v>
      </c>
      <c r="AO208" s="18" t="s">
        <v>39</v>
      </c>
      <c r="AP208" s="18" t="s">
        <v>38</v>
      </c>
      <c r="AQ208" s="18" t="s">
        <v>39</v>
      </c>
      <c r="AR208" s="18" t="s">
        <v>38</v>
      </c>
      <c r="AS208" s="18" t="s">
        <v>39</v>
      </c>
      <c r="AT208" s="18" t="s">
        <v>38</v>
      </c>
      <c r="AU208" s="18" t="s">
        <v>39</v>
      </c>
      <c r="AV208" s="18" t="s">
        <v>38</v>
      </c>
      <c r="AW208" s="18" t="s">
        <v>39</v>
      </c>
      <c r="AX208" s="18" t="s">
        <v>38</v>
      </c>
      <c r="AY208" s="18" t="s">
        <v>39</v>
      </c>
      <c r="AZ208" s="19" t="s">
        <v>40</v>
      </c>
      <c r="BA208" s="20" t="s">
        <v>41</v>
      </c>
      <c r="BB208" s="19" t="s">
        <v>40</v>
      </c>
      <c r="BC208" s="20" t="s">
        <v>41</v>
      </c>
      <c r="BD208" s="19" t="s">
        <v>40</v>
      </c>
      <c r="BE208" s="20" t="s">
        <v>41</v>
      </c>
      <c r="BF208" s="19" t="s">
        <v>40</v>
      </c>
      <c r="BG208" s="20" t="s">
        <v>41</v>
      </c>
      <c r="BH208" s="19" t="s">
        <v>40</v>
      </c>
      <c r="BI208" s="20" t="s">
        <v>41</v>
      </c>
      <c r="BJ208" s="19" t="s">
        <v>40</v>
      </c>
      <c r="BK208" s="20" t="s">
        <v>41</v>
      </c>
      <c r="BL208" s="21" t="s">
        <v>41</v>
      </c>
      <c r="BM208" s="21" t="s">
        <v>41</v>
      </c>
      <c r="BN208" s="15"/>
      <c r="BO208" s="15"/>
      <c r="BP208" s="7"/>
      <c r="BQ208" s="7"/>
      <c r="BR208" s="7"/>
      <c r="BS208" s="7"/>
      <c r="BT208" s="7"/>
      <c r="BU208" s="7"/>
    </row>
    <row r="209" customFormat="false" ht="13.5" hidden="false" customHeight="true" outlineLevel="0" collapsed="false">
      <c r="A209" s="22" t="n">
        <v>1</v>
      </c>
      <c r="B209" s="23" t="n">
        <v>2</v>
      </c>
      <c r="C209" s="23" t="n">
        <f aca="false">+B209+1</f>
        <v>3</v>
      </c>
      <c r="D209" s="23" t="n">
        <v>4</v>
      </c>
      <c r="E209" s="23" t="n">
        <v>5</v>
      </c>
      <c r="F209" s="23" t="n">
        <v>6</v>
      </c>
      <c r="G209" s="23" t="n">
        <v>7</v>
      </c>
      <c r="H209" s="24" t="n">
        <v>8</v>
      </c>
      <c r="I209" s="24"/>
      <c r="J209" s="24"/>
      <c r="K209" s="24"/>
      <c r="L209" s="24"/>
      <c r="M209" s="24"/>
      <c r="N209" s="25" t="n">
        <v>9</v>
      </c>
      <c r="O209" s="24" t="n">
        <v>10</v>
      </c>
      <c r="P209" s="24" t="n">
        <v>11</v>
      </c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3" t="n">
        <v>12</v>
      </c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13" t="n">
        <v>13</v>
      </c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4" t="n">
        <v>14</v>
      </c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5" t="n">
        <v>15</v>
      </c>
      <c r="BM209" s="15"/>
      <c r="BN209" s="15"/>
      <c r="BO209" s="15"/>
      <c r="BP209" s="24" t="n">
        <v>16</v>
      </c>
      <c r="BQ209" s="24"/>
      <c r="BR209" s="24"/>
      <c r="BS209" s="24" t="n">
        <v>17</v>
      </c>
      <c r="BT209" s="24"/>
      <c r="BU209" s="24"/>
    </row>
    <row r="210" customFormat="false" ht="32.25" hidden="false" customHeight="true" outlineLevel="0" collapsed="false">
      <c r="A210" s="27" t="n">
        <v>1</v>
      </c>
      <c r="B210" s="28" t="s">
        <v>42</v>
      </c>
      <c r="C210" s="10" t="n">
        <v>3</v>
      </c>
      <c r="D210" s="10" t="n">
        <v>0</v>
      </c>
      <c r="E210" s="10" t="n">
        <v>3</v>
      </c>
      <c r="F210" s="10" t="n">
        <v>0</v>
      </c>
      <c r="G210" s="10" t="n">
        <v>0</v>
      </c>
      <c r="H210" s="29" t="n">
        <v>200</v>
      </c>
      <c r="I210" s="29" t="n">
        <v>243</v>
      </c>
      <c r="J210" s="30" t="n">
        <v>180</v>
      </c>
      <c r="K210" s="30" t="n">
        <v>209</v>
      </c>
      <c r="L210" s="30" t="n">
        <v>110</v>
      </c>
      <c r="M210" s="30" t="n">
        <v>117</v>
      </c>
      <c r="N210" s="31" t="n">
        <f aca="false">SUM(J210:M210)</f>
        <v>616</v>
      </c>
      <c r="O210" s="32" t="n">
        <v>0</v>
      </c>
      <c r="P210" s="33" t="n">
        <f aca="false">P188+Q188</f>
        <v>76</v>
      </c>
      <c r="Q210" s="33"/>
      <c r="R210" s="33" t="n">
        <f aca="false">R188+S188</f>
        <v>169</v>
      </c>
      <c r="S210" s="33"/>
      <c r="T210" s="33" t="n">
        <f aca="false">T188+U188</f>
        <v>67</v>
      </c>
      <c r="U210" s="34"/>
      <c r="V210" s="33" t="n">
        <f aca="false">V188+W188</f>
        <v>102</v>
      </c>
      <c r="W210" s="34"/>
      <c r="X210" s="33" t="n">
        <f aca="false">X188+Y188</f>
        <v>101</v>
      </c>
      <c r="Y210" s="34"/>
      <c r="Z210" s="33" t="n">
        <f aca="false">Z188+AA188</f>
        <v>80</v>
      </c>
      <c r="AA210" s="34"/>
      <c r="AB210" s="33" t="n">
        <f aca="false">AB188+AC188</f>
        <v>47</v>
      </c>
      <c r="AC210" s="33"/>
      <c r="AD210" s="33" t="n">
        <f aca="false">AD188+AE188</f>
        <v>81</v>
      </c>
      <c r="AE210" s="33"/>
      <c r="AF210" s="33" t="n">
        <f aca="false">AF188+AG188</f>
        <v>67</v>
      </c>
      <c r="AG210" s="34"/>
      <c r="AH210" s="33" t="n">
        <f aca="false">AH188+AI188</f>
        <v>76</v>
      </c>
      <c r="AI210" s="34"/>
      <c r="AJ210" s="33" t="n">
        <f aca="false">AJ188+AK188</f>
        <v>26</v>
      </c>
      <c r="AK210" s="34"/>
      <c r="AL210" s="33" t="n">
        <f aca="false">AL188+AM188</f>
        <v>34</v>
      </c>
      <c r="AM210" s="34"/>
      <c r="AN210" s="35" t="n">
        <f aca="false">P210+AB210</f>
        <v>123</v>
      </c>
      <c r="AO210" s="35" t="n">
        <f aca="false">Q210+AC210</f>
        <v>0</v>
      </c>
      <c r="AP210" s="35" t="n">
        <f aca="false">R210+AD210</f>
        <v>250</v>
      </c>
      <c r="AQ210" s="35" t="n">
        <f aca="false">S210+AE210</f>
        <v>0</v>
      </c>
      <c r="AR210" s="35" t="n">
        <f aca="false">T210+AF210</f>
        <v>134</v>
      </c>
      <c r="AS210" s="35" t="n">
        <f aca="false">U210+AG210</f>
        <v>0</v>
      </c>
      <c r="AT210" s="35" t="n">
        <f aca="false">V210+AH210</f>
        <v>178</v>
      </c>
      <c r="AU210" s="35" t="n">
        <f aca="false">W210+AI210</f>
        <v>0</v>
      </c>
      <c r="AV210" s="35" t="n">
        <f aca="false">X210+AJ210</f>
        <v>127</v>
      </c>
      <c r="AW210" s="35" t="n">
        <f aca="false">Y210+AK210</f>
        <v>0</v>
      </c>
      <c r="AX210" s="35" t="n">
        <f aca="false">Z210+AL210</f>
        <v>114</v>
      </c>
      <c r="AY210" s="35" t="n">
        <f aca="false">AA210+AM210</f>
        <v>0</v>
      </c>
      <c r="AZ210" s="36" t="n">
        <f aca="false">AO210</f>
        <v>0</v>
      </c>
      <c r="BA210" s="36" t="n">
        <f aca="false">SUM(AN210:AO210)</f>
        <v>123</v>
      </c>
      <c r="BB210" s="36" t="n">
        <f aca="false">S210+AE210</f>
        <v>0</v>
      </c>
      <c r="BC210" s="36" t="n">
        <f aca="false">SUM(AP210:AQ210)</f>
        <v>250</v>
      </c>
      <c r="BD210" s="36" t="n">
        <f aca="false">U210+AG210</f>
        <v>0</v>
      </c>
      <c r="BE210" s="36" t="n">
        <f aca="false">SUM(AR210:AS210)</f>
        <v>134</v>
      </c>
      <c r="BF210" s="36" t="n">
        <f aca="false">W210+AI210</f>
        <v>0</v>
      </c>
      <c r="BG210" s="36" t="n">
        <f aca="false">SUM(AT210:AU210)</f>
        <v>178</v>
      </c>
      <c r="BH210" s="36" t="n">
        <f aca="false">Y210+AK210</f>
        <v>0</v>
      </c>
      <c r="BI210" s="36" t="n">
        <f aca="false">SUM(AV210:AW210)</f>
        <v>127</v>
      </c>
      <c r="BJ210" s="36" t="n">
        <f aca="false">AA210+AM210</f>
        <v>0</v>
      </c>
      <c r="BK210" s="36" t="n">
        <f aca="false">SUM(AX210:AY210)</f>
        <v>114</v>
      </c>
      <c r="BL210" s="37" t="n">
        <f aca="false">BE210+BI210</f>
        <v>261</v>
      </c>
      <c r="BM210" s="37" t="n">
        <f aca="false">BG210+BK210</f>
        <v>292</v>
      </c>
      <c r="BN210" s="38" t="n">
        <f aca="false">BL210+BM210</f>
        <v>553</v>
      </c>
      <c r="BO210" s="39" t="n">
        <f aca="false">BN210/N210*100</f>
        <v>89.7727272727273</v>
      </c>
      <c r="BP210" s="10" t="n">
        <v>32</v>
      </c>
      <c r="BQ210" s="10" t="n">
        <v>0</v>
      </c>
      <c r="BR210" s="10" t="n">
        <v>0</v>
      </c>
      <c r="BS210" s="10" t="n">
        <v>21</v>
      </c>
      <c r="BT210" s="10" t="n">
        <v>0</v>
      </c>
      <c r="BU210" s="10" t="n">
        <v>0</v>
      </c>
    </row>
    <row r="211" customFormat="false" ht="32.25" hidden="false" customHeight="true" outlineLevel="0" collapsed="false">
      <c r="A211" s="27" t="n">
        <v>2</v>
      </c>
      <c r="B211" s="28" t="s">
        <v>43</v>
      </c>
      <c r="C211" s="10" t="n">
        <v>3</v>
      </c>
      <c r="D211" s="10" t="n">
        <v>0</v>
      </c>
      <c r="E211" s="10" t="n">
        <v>3</v>
      </c>
      <c r="F211" s="10" t="n">
        <v>0</v>
      </c>
      <c r="G211" s="10" t="n">
        <v>0</v>
      </c>
      <c r="H211" s="29" t="n">
        <v>385</v>
      </c>
      <c r="I211" s="29" t="n">
        <v>393</v>
      </c>
      <c r="J211" s="30" t="n">
        <v>165</v>
      </c>
      <c r="K211" s="30" t="n">
        <v>177</v>
      </c>
      <c r="L211" s="30" t="n">
        <v>95</v>
      </c>
      <c r="M211" s="30" t="n">
        <v>104</v>
      </c>
      <c r="N211" s="31" t="n">
        <f aca="false">SUM(J211:M211)</f>
        <v>541</v>
      </c>
      <c r="O211" s="32" t="n">
        <v>0</v>
      </c>
      <c r="P211" s="33" t="n">
        <f aca="false">P189+Q189</f>
        <v>70</v>
      </c>
      <c r="Q211" s="33"/>
      <c r="R211" s="33" t="n">
        <f aca="false">R189+S189</f>
        <v>154</v>
      </c>
      <c r="S211" s="33"/>
      <c r="T211" s="33" t="n">
        <f aca="false">T189+U189</f>
        <v>84</v>
      </c>
      <c r="U211" s="34"/>
      <c r="V211" s="33" t="n">
        <f aca="false">V189+W189</f>
        <v>90</v>
      </c>
      <c r="W211" s="34"/>
      <c r="X211" s="33" t="n">
        <f aca="false">X189+Y189</f>
        <v>49</v>
      </c>
      <c r="Y211" s="34"/>
      <c r="Z211" s="33" t="n">
        <f aca="false">Z189+AA189</f>
        <v>62</v>
      </c>
      <c r="AA211" s="34"/>
      <c r="AB211" s="33" t="n">
        <f aca="false">AB189+AC189</f>
        <v>31</v>
      </c>
      <c r="AC211" s="33"/>
      <c r="AD211" s="33" t="n">
        <f aca="false">AD189+AE189</f>
        <v>47</v>
      </c>
      <c r="AE211" s="33"/>
      <c r="AF211" s="33" t="n">
        <f aca="false">AF189+AG189</f>
        <v>36</v>
      </c>
      <c r="AG211" s="34"/>
      <c r="AH211" s="33" t="n">
        <f aca="false">AH189+AI189</f>
        <v>41</v>
      </c>
      <c r="AI211" s="34"/>
      <c r="AJ211" s="33" t="n">
        <f aca="false">AJ189+AK189</f>
        <v>28</v>
      </c>
      <c r="AK211" s="34"/>
      <c r="AL211" s="33" t="n">
        <f aca="false">AL189+AM189</f>
        <v>32</v>
      </c>
      <c r="AM211" s="34"/>
      <c r="AN211" s="35" t="n">
        <f aca="false">P211+AB211</f>
        <v>101</v>
      </c>
      <c r="AO211" s="35" t="n">
        <f aca="false">Q211+AC211</f>
        <v>0</v>
      </c>
      <c r="AP211" s="35" t="n">
        <f aca="false">R211+AD211</f>
        <v>201</v>
      </c>
      <c r="AQ211" s="35" t="n">
        <f aca="false">S211+AE211</f>
        <v>0</v>
      </c>
      <c r="AR211" s="35" t="n">
        <f aca="false">T211+AF211</f>
        <v>120</v>
      </c>
      <c r="AS211" s="35" t="n">
        <f aca="false">U211+AG211</f>
        <v>0</v>
      </c>
      <c r="AT211" s="35" t="n">
        <f aca="false">V211+AH211</f>
        <v>131</v>
      </c>
      <c r="AU211" s="35" t="n">
        <f aca="false">W211+AI211</f>
        <v>0</v>
      </c>
      <c r="AV211" s="35" t="n">
        <f aca="false">X211+AJ211</f>
        <v>77</v>
      </c>
      <c r="AW211" s="35" t="n">
        <f aca="false">Y211+AK211</f>
        <v>0</v>
      </c>
      <c r="AX211" s="35" t="n">
        <f aca="false">Z211+AL211</f>
        <v>94</v>
      </c>
      <c r="AY211" s="35" t="n">
        <f aca="false">AA211+AM211</f>
        <v>0</v>
      </c>
      <c r="AZ211" s="36" t="n">
        <f aca="false">AO211</f>
        <v>0</v>
      </c>
      <c r="BA211" s="36" t="n">
        <f aca="false">SUM(AN211:AO211)</f>
        <v>101</v>
      </c>
      <c r="BB211" s="36" t="n">
        <f aca="false">S211+AE211</f>
        <v>0</v>
      </c>
      <c r="BC211" s="36" t="n">
        <f aca="false">SUM(AP211:AQ211)</f>
        <v>201</v>
      </c>
      <c r="BD211" s="36" t="n">
        <f aca="false">U211+AG211</f>
        <v>0</v>
      </c>
      <c r="BE211" s="36" t="n">
        <f aca="false">SUM(AR211:AS211)</f>
        <v>120</v>
      </c>
      <c r="BF211" s="36" t="n">
        <f aca="false">W211+AI211</f>
        <v>0</v>
      </c>
      <c r="BG211" s="36" t="n">
        <f aca="false">SUM(AT211:AU211)</f>
        <v>131</v>
      </c>
      <c r="BH211" s="36" t="n">
        <f aca="false">Y211+AK211</f>
        <v>0</v>
      </c>
      <c r="BI211" s="36" t="n">
        <f aca="false">SUM(AV211:AW211)</f>
        <v>77</v>
      </c>
      <c r="BJ211" s="36" t="n">
        <f aca="false">AA211+AM211</f>
        <v>0</v>
      </c>
      <c r="BK211" s="36" t="n">
        <f aca="false">SUM(AX211:AY211)</f>
        <v>94</v>
      </c>
      <c r="BL211" s="37" t="n">
        <f aca="false">BE211+BI211</f>
        <v>197</v>
      </c>
      <c r="BM211" s="37" t="n">
        <f aca="false">BG211+BK211</f>
        <v>225</v>
      </c>
      <c r="BN211" s="38" t="n">
        <f aca="false">BL211+BM211</f>
        <v>422</v>
      </c>
      <c r="BO211" s="39" t="n">
        <f aca="false">BN211/N211*100</f>
        <v>78.003696857671</v>
      </c>
      <c r="BP211" s="10" t="n">
        <v>30</v>
      </c>
      <c r="BQ211" s="10" t="n">
        <v>0</v>
      </c>
      <c r="BR211" s="10" t="n">
        <v>0</v>
      </c>
      <c r="BS211" s="10" t="n">
        <v>21</v>
      </c>
      <c r="BT211" s="10" t="n">
        <v>0</v>
      </c>
      <c r="BU211" s="10" t="n">
        <v>0</v>
      </c>
    </row>
    <row r="212" customFormat="false" ht="32.25" hidden="false" customHeight="true" outlineLevel="0" collapsed="false">
      <c r="A212" s="27" t="n">
        <v>3</v>
      </c>
      <c r="B212" s="28" t="s">
        <v>44</v>
      </c>
      <c r="C212" s="10" t="n">
        <v>2</v>
      </c>
      <c r="D212" s="10" t="n">
        <v>0</v>
      </c>
      <c r="E212" s="10" t="n">
        <v>2</v>
      </c>
      <c r="F212" s="10" t="n">
        <v>0</v>
      </c>
      <c r="G212" s="10" t="n">
        <v>0</v>
      </c>
      <c r="H212" s="29" t="n">
        <v>178</v>
      </c>
      <c r="I212" s="29" t="n">
        <v>178</v>
      </c>
      <c r="J212" s="30" t="n">
        <v>70</v>
      </c>
      <c r="K212" s="30" t="n">
        <v>87</v>
      </c>
      <c r="L212" s="30" t="n">
        <v>45</v>
      </c>
      <c r="M212" s="30" t="n">
        <v>46</v>
      </c>
      <c r="N212" s="31" t="n">
        <f aca="false">SUM(J212:M212)</f>
        <v>248</v>
      </c>
      <c r="O212" s="32" t="n">
        <v>0</v>
      </c>
      <c r="P212" s="33" t="n">
        <f aca="false">P190+Q190</f>
        <v>33</v>
      </c>
      <c r="Q212" s="33"/>
      <c r="R212" s="33" t="n">
        <f aca="false">R190+S190</f>
        <v>64</v>
      </c>
      <c r="S212" s="33"/>
      <c r="T212" s="33" t="n">
        <f aca="false">T190+U190</f>
        <v>31</v>
      </c>
      <c r="U212" s="34"/>
      <c r="V212" s="33" t="n">
        <f aca="false">V190+W190</f>
        <v>32</v>
      </c>
      <c r="W212" s="34"/>
      <c r="X212" s="33" t="n">
        <f aca="false">X190+Y190</f>
        <v>15</v>
      </c>
      <c r="Y212" s="34"/>
      <c r="Z212" s="33" t="n">
        <f aca="false">Z190+AA190</f>
        <v>21</v>
      </c>
      <c r="AA212" s="34"/>
      <c r="AB212" s="33" t="n">
        <f aca="false">AB190+AC190</f>
        <v>18</v>
      </c>
      <c r="AC212" s="33"/>
      <c r="AD212" s="33" t="n">
        <f aca="false">AD190+AE190</f>
        <v>22</v>
      </c>
      <c r="AE212" s="33"/>
      <c r="AF212" s="33" t="n">
        <f aca="false">AF190+AG190</f>
        <v>13</v>
      </c>
      <c r="AG212" s="34"/>
      <c r="AH212" s="33" t="n">
        <f aca="false">AH190+AI190</f>
        <v>27</v>
      </c>
      <c r="AI212" s="34"/>
      <c r="AJ212" s="33" t="n">
        <f aca="false">AJ190+AK190</f>
        <v>8</v>
      </c>
      <c r="AK212" s="34"/>
      <c r="AL212" s="33" t="n">
        <f aca="false">AL190+AM190</f>
        <v>14</v>
      </c>
      <c r="AM212" s="34"/>
      <c r="AN212" s="35" t="n">
        <f aca="false">P212+AB212</f>
        <v>51</v>
      </c>
      <c r="AO212" s="35" t="n">
        <f aca="false">Q212+AC212</f>
        <v>0</v>
      </c>
      <c r="AP212" s="35" t="n">
        <f aca="false">R212+AD212</f>
        <v>86</v>
      </c>
      <c r="AQ212" s="35" t="n">
        <f aca="false">S212+AE212</f>
        <v>0</v>
      </c>
      <c r="AR212" s="35" t="n">
        <f aca="false">T212+AF212</f>
        <v>44</v>
      </c>
      <c r="AS212" s="35" t="n">
        <f aca="false">U212+AG212</f>
        <v>0</v>
      </c>
      <c r="AT212" s="35" t="n">
        <f aca="false">V212+AH212</f>
        <v>59</v>
      </c>
      <c r="AU212" s="35" t="n">
        <f aca="false">W212+AI212</f>
        <v>0</v>
      </c>
      <c r="AV212" s="35" t="n">
        <f aca="false">X212+AJ212</f>
        <v>23</v>
      </c>
      <c r="AW212" s="35" t="n">
        <f aca="false">Y212+AK212</f>
        <v>0</v>
      </c>
      <c r="AX212" s="35" t="n">
        <f aca="false">Z212+AL212</f>
        <v>35</v>
      </c>
      <c r="AY212" s="35" t="n">
        <f aca="false">AA212+AM212</f>
        <v>0</v>
      </c>
      <c r="AZ212" s="36" t="n">
        <f aca="false">AO212</f>
        <v>0</v>
      </c>
      <c r="BA212" s="36" t="n">
        <f aca="false">SUM(AN212:AO212)</f>
        <v>51</v>
      </c>
      <c r="BB212" s="36" t="n">
        <f aca="false">S212+AE212</f>
        <v>0</v>
      </c>
      <c r="BC212" s="36" t="n">
        <f aca="false">SUM(AP212:AQ212)</f>
        <v>86</v>
      </c>
      <c r="BD212" s="36" t="n">
        <f aca="false">U212+AG212</f>
        <v>0</v>
      </c>
      <c r="BE212" s="36" t="n">
        <f aca="false">SUM(AR212:AS212)</f>
        <v>44</v>
      </c>
      <c r="BF212" s="36" t="n">
        <f aca="false">W212+AI212</f>
        <v>0</v>
      </c>
      <c r="BG212" s="36" t="n">
        <f aca="false">SUM(AT212:AU212)</f>
        <v>59</v>
      </c>
      <c r="BH212" s="36" t="n">
        <f aca="false">Y212+AK212</f>
        <v>0</v>
      </c>
      <c r="BI212" s="36" t="n">
        <f aca="false">SUM(AV212:AW212)</f>
        <v>23</v>
      </c>
      <c r="BJ212" s="36" t="n">
        <f aca="false">AA212+AM212</f>
        <v>0</v>
      </c>
      <c r="BK212" s="36" t="n">
        <f aca="false">SUM(AX212:AY212)</f>
        <v>35</v>
      </c>
      <c r="BL212" s="37" t="n">
        <f aca="false">BE212+BI212</f>
        <v>67</v>
      </c>
      <c r="BM212" s="37" t="n">
        <f aca="false">BG212+BK212</f>
        <v>94</v>
      </c>
      <c r="BN212" s="38" t="n">
        <f aca="false">BL212+BM212</f>
        <v>161</v>
      </c>
      <c r="BO212" s="39" t="n">
        <f aca="false">BN212/N212*100</f>
        <v>64.9193548387097</v>
      </c>
      <c r="BP212" s="10" t="n">
        <v>1</v>
      </c>
      <c r="BQ212" s="10" t="n">
        <v>0</v>
      </c>
      <c r="BR212" s="10" t="n">
        <v>0</v>
      </c>
      <c r="BS212" s="10" t="n">
        <v>0</v>
      </c>
      <c r="BT212" s="10" t="n">
        <v>0</v>
      </c>
      <c r="BU212" s="10" t="n">
        <v>0</v>
      </c>
    </row>
    <row r="213" customFormat="false" ht="32.25" hidden="false" customHeight="true" outlineLevel="0" collapsed="false">
      <c r="A213" s="27" t="n">
        <v>4</v>
      </c>
      <c r="B213" s="28" t="s">
        <v>45</v>
      </c>
      <c r="C213" s="10" t="n">
        <v>2</v>
      </c>
      <c r="D213" s="10" t="n">
        <v>0</v>
      </c>
      <c r="E213" s="10" t="n">
        <v>2</v>
      </c>
      <c r="F213" s="10" t="n">
        <v>0</v>
      </c>
      <c r="G213" s="10" t="n">
        <v>0</v>
      </c>
      <c r="H213" s="29" t="n">
        <v>245</v>
      </c>
      <c r="I213" s="29" t="n">
        <v>248</v>
      </c>
      <c r="J213" s="30" t="n">
        <v>100</v>
      </c>
      <c r="K213" s="30" t="n">
        <v>117</v>
      </c>
      <c r="L213" s="30" t="n">
        <v>60</v>
      </c>
      <c r="M213" s="30" t="n">
        <v>66</v>
      </c>
      <c r="N213" s="31" t="n">
        <f aca="false">SUM(J213:M213)</f>
        <v>343</v>
      </c>
      <c r="O213" s="32" t="n">
        <v>0</v>
      </c>
      <c r="P213" s="33" t="n">
        <f aca="false">P191+Q191</f>
        <v>39</v>
      </c>
      <c r="Q213" s="42"/>
      <c r="R213" s="33" t="n">
        <f aca="false">R191+S191</f>
        <v>72</v>
      </c>
      <c r="S213" s="33"/>
      <c r="T213" s="33" t="n">
        <f aca="false">T191+U191</f>
        <v>26</v>
      </c>
      <c r="U213" s="34"/>
      <c r="V213" s="33" t="n">
        <f aca="false">V191+W191</f>
        <v>63</v>
      </c>
      <c r="W213" s="34"/>
      <c r="X213" s="33" t="n">
        <f aca="false">X191+Y191</f>
        <v>25</v>
      </c>
      <c r="Y213" s="34"/>
      <c r="Z213" s="33" t="n">
        <f aca="false">Z191+AA191</f>
        <v>30</v>
      </c>
      <c r="AA213" s="34"/>
      <c r="AB213" s="33" t="n">
        <f aca="false">AB191+AC191</f>
        <v>57</v>
      </c>
      <c r="AC213" s="43"/>
      <c r="AD213" s="33" t="n">
        <f aca="false">AD191+AE191</f>
        <v>58</v>
      </c>
      <c r="AE213" s="33"/>
      <c r="AF213" s="33" t="n">
        <f aca="false">AF191+AG191</f>
        <v>40</v>
      </c>
      <c r="AG213" s="34"/>
      <c r="AH213" s="33" t="n">
        <f aca="false">AH191+AI191</f>
        <v>51</v>
      </c>
      <c r="AI213" s="34"/>
      <c r="AJ213" s="33" t="n">
        <f aca="false">AJ191+AK191</f>
        <v>39</v>
      </c>
      <c r="AK213" s="34"/>
      <c r="AL213" s="33" t="n">
        <f aca="false">AL191+AM191</f>
        <v>45</v>
      </c>
      <c r="AM213" s="34"/>
      <c r="AN213" s="35" t="n">
        <f aca="false">P213+AB213</f>
        <v>96</v>
      </c>
      <c r="AO213" s="35" t="n">
        <f aca="false">Q213+AC213</f>
        <v>0</v>
      </c>
      <c r="AP213" s="35" t="n">
        <f aca="false">R213+AD213</f>
        <v>130</v>
      </c>
      <c r="AQ213" s="35" t="n">
        <f aca="false">S213+AE213</f>
        <v>0</v>
      </c>
      <c r="AR213" s="35" t="n">
        <f aca="false">T213+AF213</f>
        <v>66</v>
      </c>
      <c r="AS213" s="35" t="n">
        <f aca="false">U213+AG213</f>
        <v>0</v>
      </c>
      <c r="AT213" s="35" t="n">
        <f aca="false">V213+AH213</f>
        <v>114</v>
      </c>
      <c r="AU213" s="35" t="n">
        <f aca="false">W213+AI213</f>
        <v>0</v>
      </c>
      <c r="AV213" s="35" t="n">
        <f aca="false">X213+AJ213</f>
        <v>64</v>
      </c>
      <c r="AW213" s="35" t="n">
        <f aca="false">Y213+AK213</f>
        <v>0</v>
      </c>
      <c r="AX213" s="35" t="n">
        <f aca="false">Z213+AL213</f>
        <v>75</v>
      </c>
      <c r="AY213" s="35" t="n">
        <f aca="false">AA213+AM213</f>
        <v>0</v>
      </c>
      <c r="AZ213" s="36" t="n">
        <f aca="false">AO213</f>
        <v>0</v>
      </c>
      <c r="BA213" s="36" t="n">
        <f aca="false">SUM(AN213:AO213)</f>
        <v>96</v>
      </c>
      <c r="BB213" s="36" t="n">
        <f aca="false">S213+AE213</f>
        <v>0</v>
      </c>
      <c r="BC213" s="36" t="n">
        <f aca="false">SUM(AP213:AQ213)</f>
        <v>130</v>
      </c>
      <c r="BD213" s="36" t="n">
        <f aca="false">U213+AG213</f>
        <v>0</v>
      </c>
      <c r="BE213" s="36" t="n">
        <f aca="false">SUM(AR213:AS213)</f>
        <v>66</v>
      </c>
      <c r="BF213" s="36" t="n">
        <f aca="false">W213+AI213</f>
        <v>0</v>
      </c>
      <c r="BG213" s="36" t="n">
        <f aca="false">SUM(AT213:AU213)</f>
        <v>114</v>
      </c>
      <c r="BH213" s="36" t="n">
        <f aca="false">Y213+AK213</f>
        <v>0</v>
      </c>
      <c r="BI213" s="36" t="n">
        <f aca="false">SUM(AV213:AW213)</f>
        <v>64</v>
      </c>
      <c r="BJ213" s="36" t="n">
        <f aca="false">AA213+AM213</f>
        <v>0</v>
      </c>
      <c r="BK213" s="36" t="n">
        <f aca="false">SUM(AX213:AY213)</f>
        <v>75</v>
      </c>
      <c r="BL213" s="37" t="n">
        <f aca="false">BE213+BI213</f>
        <v>130</v>
      </c>
      <c r="BM213" s="37" t="n">
        <f aca="false">BG213+BK213</f>
        <v>189</v>
      </c>
      <c r="BN213" s="38" t="n">
        <f aca="false">BL213+BM213</f>
        <v>319</v>
      </c>
      <c r="BO213" s="39" t="n">
        <f aca="false">BN213/N213*100</f>
        <v>93.002915451895</v>
      </c>
      <c r="BP213" s="10" t="n">
        <v>28</v>
      </c>
      <c r="BQ213" s="10" t="n">
        <v>0</v>
      </c>
      <c r="BR213" s="10" t="n">
        <v>0</v>
      </c>
      <c r="BS213" s="10" t="n">
        <v>17</v>
      </c>
      <c r="BT213" s="10" t="n">
        <v>0</v>
      </c>
      <c r="BU213" s="10" t="n">
        <v>0</v>
      </c>
    </row>
    <row r="214" customFormat="false" ht="32.25" hidden="false" customHeight="true" outlineLevel="0" collapsed="false">
      <c r="A214" s="27" t="n">
        <v>5</v>
      </c>
      <c r="B214" s="28" t="s">
        <v>46</v>
      </c>
      <c r="C214" s="10" t="n">
        <v>2</v>
      </c>
      <c r="D214" s="10" t="n">
        <v>0</v>
      </c>
      <c r="E214" s="10" t="n">
        <v>2</v>
      </c>
      <c r="F214" s="10" t="n">
        <v>0</v>
      </c>
      <c r="G214" s="10" t="n">
        <v>0</v>
      </c>
      <c r="H214" s="29" t="n">
        <v>238</v>
      </c>
      <c r="I214" s="29" t="n">
        <v>239</v>
      </c>
      <c r="J214" s="30" t="n">
        <v>95</v>
      </c>
      <c r="K214" s="30" t="n">
        <v>114</v>
      </c>
      <c r="L214" s="30" t="n">
        <v>55</v>
      </c>
      <c r="M214" s="30" t="n">
        <v>67</v>
      </c>
      <c r="N214" s="31" t="n">
        <f aca="false">SUM(J214:M214)</f>
        <v>331</v>
      </c>
      <c r="O214" s="32" t="n">
        <v>0</v>
      </c>
      <c r="P214" s="33" t="n">
        <f aca="false">P192+Q192</f>
        <v>47</v>
      </c>
      <c r="Q214" s="43"/>
      <c r="R214" s="33" t="n">
        <f aca="false">R192+S192</f>
        <v>83</v>
      </c>
      <c r="S214" s="33"/>
      <c r="T214" s="33" t="n">
        <f aca="false">T192+U192</f>
        <v>68</v>
      </c>
      <c r="U214" s="34"/>
      <c r="V214" s="33" t="n">
        <f aca="false">V192+W192</f>
        <v>65</v>
      </c>
      <c r="W214" s="34"/>
      <c r="X214" s="33" t="n">
        <f aca="false">X192+Y192</f>
        <v>17</v>
      </c>
      <c r="Y214" s="34"/>
      <c r="Z214" s="33" t="n">
        <f aca="false">Z192+AA192</f>
        <v>27</v>
      </c>
      <c r="AA214" s="34"/>
      <c r="AB214" s="33" t="n">
        <f aca="false">AB192+AC192</f>
        <v>12</v>
      </c>
      <c r="AC214" s="43"/>
      <c r="AD214" s="33" t="n">
        <f aca="false">AD192+AE192</f>
        <v>40</v>
      </c>
      <c r="AE214" s="33"/>
      <c r="AF214" s="33" t="n">
        <f aca="false">AF192+AG192</f>
        <v>13</v>
      </c>
      <c r="AG214" s="34"/>
      <c r="AH214" s="33" t="n">
        <f aca="false">AH192+AI192</f>
        <v>35</v>
      </c>
      <c r="AI214" s="34"/>
      <c r="AJ214" s="33" t="n">
        <f aca="false">AJ192+AK192</f>
        <v>8</v>
      </c>
      <c r="AK214" s="34"/>
      <c r="AL214" s="33" t="n">
        <f aca="false">AL192+AM192</f>
        <v>9</v>
      </c>
      <c r="AM214" s="34"/>
      <c r="AN214" s="35" t="n">
        <f aca="false">P214+AB214</f>
        <v>59</v>
      </c>
      <c r="AO214" s="35" t="n">
        <f aca="false">Q214+AC214</f>
        <v>0</v>
      </c>
      <c r="AP214" s="35" t="n">
        <f aca="false">R214+AD214</f>
        <v>123</v>
      </c>
      <c r="AQ214" s="35" t="n">
        <f aca="false">S214+AE214</f>
        <v>0</v>
      </c>
      <c r="AR214" s="35" t="n">
        <f aca="false">T214+AF214</f>
        <v>81</v>
      </c>
      <c r="AS214" s="35" t="n">
        <f aca="false">U214+AG214</f>
        <v>0</v>
      </c>
      <c r="AT214" s="35" t="n">
        <f aca="false">V214+AH214</f>
        <v>100</v>
      </c>
      <c r="AU214" s="35" t="n">
        <f aca="false">W214+AI214</f>
        <v>0</v>
      </c>
      <c r="AV214" s="35" t="n">
        <f aca="false">X214+AJ214</f>
        <v>25</v>
      </c>
      <c r="AW214" s="35" t="n">
        <f aca="false">Y214+AK214</f>
        <v>0</v>
      </c>
      <c r="AX214" s="35" t="n">
        <f aca="false">Z214+AL214</f>
        <v>36</v>
      </c>
      <c r="AY214" s="35" t="n">
        <f aca="false">AA214+AM214</f>
        <v>0</v>
      </c>
      <c r="AZ214" s="36" t="n">
        <f aca="false">AO214</f>
        <v>0</v>
      </c>
      <c r="BA214" s="36" t="n">
        <f aca="false">SUM(AN214:AO214)</f>
        <v>59</v>
      </c>
      <c r="BB214" s="36" t="n">
        <f aca="false">S214+AE214</f>
        <v>0</v>
      </c>
      <c r="BC214" s="36" t="n">
        <f aca="false">SUM(AP214:AQ214)</f>
        <v>123</v>
      </c>
      <c r="BD214" s="36" t="n">
        <f aca="false">U214+AG214</f>
        <v>0</v>
      </c>
      <c r="BE214" s="36" t="n">
        <f aca="false">SUM(AR214:AS214)</f>
        <v>81</v>
      </c>
      <c r="BF214" s="36" t="n">
        <f aca="false">W214+AI214</f>
        <v>0</v>
      </c>
      <c r="BG214" s="36" t="n">
        <f aca="false">SUM(AT214:AU214)</f>
        <v>100</v>
      </c>
      <c r="BH214" s="36" t="n">
        <f aca="false">Y214+AK214</f>
        <v>0</v>
      </c>
      <c r="BI214" s="36" t="n">
        <f aca="false">SUM(AV214:AW214)</f>
        <v>25</v>
      </c>
      <c r="BJ214" s="36" t="n">
        <f aca="false">AA214+AM214</f>
        <v>0</v>
      </c>
      <c r="BK214" s="36" t="n">
        <f aca="false">SUM(AX214:AY214)</f>
        <v>36</v>
      </c>
      <c r="BL214" s="37" t="n">
        <f aca="false">BE214+BI214</f>
        <v>106</v>
      </c>
      <c r="BM214" s="37" t="n">
        <f aca="false">BG214+BK214</f>
        <v>136</v>
      </c>
      <c r="BN214" s="38" t="n">
        <f aca="false">BL214+BM214</f>
        <v>242</v>
      </c>
      <c r="BO214" s="39" t="n">
        <f aca="false">BN214/N214*100</f>
        <v>73.1117824773414</v>
      </c>
      <c r="BP214" s="10" t="n">
        <v>27</v>
      </c>
      <c r="BQ214" s="10" t="n">
        <v>0</v>
      </c>
      <c r="BR214" s="10" t="n">
        <v>0</v>
      </c>
      <c r="BS214" s="10" t="n">
        <v>5</v>
      </c>
      <c r="BT214" s="10" t="n">
        <v>0</v>
      </c>
      <c r="BU214" s="10" t="n">
        <v>0</v>
      </c>
    </row>
    <row r="215" customFormat="false" ht="32.25" hidden="false" customHeight="true" outlineLevel="0" collapsed="false">
      <c r="A215" s="27" t="n">
        <v>5</v>
      </c>
      <c r="B215" s="28" t="s">
        <v>47</v>
      </c>
      <c r="C215" s="10" t="n">
        <v>3</v>
      </c>
      <c r="D215" s="10" t="n">
        <v>0</v>
      </c>
      <c r="E215" s="10" t="n">
        <v>3</v>
      </c>
      <c r="F215" s="10" t="n">
        <v>0</v>
      </c>
      <c r="G215" s="10" t="n">
        <v>0</v>
      </c>
      <c r="H215" s="29" t="n">
        <v>302</v>
      </c>
      <c r="I215" s="29" t="n">
        <v>303</v>
      </c>
      <c r="J215" s="30" t="n">
        <v>155</v>
      </c>
      <c r="K215" s="30" t="n">
        <v>110</v>
      </c>
      <c r="L215" s="30" t="n">
        <v>75</v>
      </c>
      <c r="M215" s="30" t="n">
        <v>80</v>
      </c>
      <c r="N215" s="31" t="n">
        <f aca="false">SUM(J215:M215)</f>
        <v>420</v>
      </c>
      <c r="O215" s="32" t="n">
        <v>0</v>
      </c>
      <c r="P215" s="33" t="n">
        <f aca="false">P193+Q193</f>
        <v>65</v>
      </c>
      <c r="Q215" s="33"/>
      <c r="R215" s="33" t="n">
        <f aca="false">R193+S193</f>
        <v>84</v>
      </c>
      <c r="S215" s="33"/>
      <c r="T215" s="33" t="n">
        <f aca="false">T193+U193</f>
        <v>43</v>
      </c>
      <c r="U215" s="34"/>
      <c r="V215" s="33" t="n">
        <f aca="false">V193+W193</f>
        <v>38</v>
      </c>
      <c r="W215" s="34"/>
      <c r="X215" s="33" t="n">
        <f aca="false">X193+Y193</f>
        <v>26</v>
      </c>
      <c r="Y215" s="34"/>
      <c r="Z215" s="33" t="n">
        <f aca="false">Z193+AA193</f>
        <v>33</v>
      </c>
      <c r="AA215" s="34"/>
      <c r="AB215" s="33" t="n">
        <f aca="false">AB193+AC193</f>
        <v>25</v>
      </c>
      <c r="AC215" s="33"/>
      <c r="AD215" s="33" t="n">
        <f aca="false">AD193+AE193</f>
        <v>30</v>
      </c>
      <c r="AE215" s="33"/>
      <c r="AF215" s="33" t="n">
        <f aca="false">AF193+AG193</f>
        <v>27</v>
      </c>
      <c r="AG215" s="34"/>
      <c r="AH215" s="33" t="n">
        <f aca="false">AH193+AI193</f>
        <v>29</v>
      </c>
      <c r="AI215" s="34"/>
      <c r="AJ215" s="33" t="n">
        <f aca="false">AJ193+AK193</f>
        <v>20</v>
      </c>
      <c r="AK215" s="34"/>
      <c r="AL215" s="33" t="n">
        <f aca="false">AL193+AM193</f>
        <v>19</v>
      </c>
      <c r="AM215" s="34"/>
      <c r="AN215" s="35" t="n">
        <f aca="false">P215+AB215</f>
        <v>90</v>
      </c>
      <c r="AO215" s="35" t="n">
        <f aca="false">Q215+AC215</f>
        <v>0</v>
      </c>
      <c r="AP215" s="35" t="n">
        <f aca="false">R215+AD215</f>
        <v>114</v>
      </c>
      <c r="AQ215" s="35" t="n">
        <f aca="false">S215+AE215</f>
        <v>0</v>
      </c>
      <c r="AR215" s="35" t="n">
        <f aca="false">T215+AF215</f>
        <v>70</v>
      </c>
      <c r="AS215" s="35" t="n">
        <f aca="false">U215+AG215</f>
        <v>0</v>
      </c>
      <c r="AT215" s="35" t="n">
        <f aca="false">V215+AH215</f>
        <v>67</v>
      </c>
      <c r="AU215" s="35" t="n">
        <f aca="false">W215+AI215</f>
        <v>0</v>
      </c>
      <c r="AV215" s="35" t="n">
        <f aca="false">X215+AJ215</f>
        <v>46</v>
      </c>
      <c r="AW215" s="35" t="n">
        <f aca="false">Y215+AK215</f>
        <v>0</v>
      </c>
      <c r="AX215" s="35" t="n">
        <f aca="false">Z215+AL215</f>
        <v>52</v>
      </c>
      <c r="AY215" s="35" t="n">
        <f aca="false">AA215+AM215</f>
        <v>0</v>
      </c>
      <c r="AZ215" s="36" t="n">
        <f aca="false">AO215</f>
        <v>0</v>
      </c>
      <c r="BA215" s="36" t="n">
        <f aca="false">SUM(AN215:AO215)</f>
        <v>90</v>
      </c>
      <c r="BB215" s="36" t="n">
        <f aca="false">S215+AE215</f>
        <v>0</v>
      </c>
      <c r="BC215" s="36" t="n">
        <f aca="false">SUM(AP215:AQ215)</f>
        <v>114</v>
      </c>
      <c r="BD215" s="36" t="n">
        <f aca="false">U215+AG215</f>
        <v>0</v>
      </c>
      <c r="BE215" s="36" t="n">
        <f aca="false">SUM(AR215:AS215)</f>
        <v>70</v>
      </c>
      <c r="BF215" s="36" t="n">
        <f aca="false">W215+AI215</f>
        <v>0</v>
      </c>
      <c r="BG215" s="36" t="n">
        <f aca="false">SUM(AT215:AU215)</f>
        <v>67</v>
      </c>
      <c r="BH215" s="36" t="n">
        <f aca="false">Y215+AK215</f>
        <v>0</v>
      </c>
      <c r="BI215" s="36" t="n">
        <f aca="false">SUM(AV215:AW215)</f>
        <v>46</v>
      </c>
      <c r="BJ215" s="36" t="n">
        <f aca="false">AA215+AM215</f>
        <v>0</v>
      </c>
      <c r="BK215" s="36" t="n">
        <f aca="false">SUM(AX215:AY215)</f>
        <v>52</v>
      </c>
      <c r="BL215" s="37" t="n">
        <f aca="false">BE215+BI215</f>
        <v>116</v>
      </c>
      <c r="BM215" s="37" t="n">
        <f aca="false">BG215+BK215</f>
        <v>119</v>
      </c>
      <c r="BN215" s="38" t="n">
        <f aca="false">BL215+BM215</f>
        <v>235</v>
      </c>
      <c r="BO215" s="39" t="n">
        <f aca="false">BN215/N215*100</f>
        <v>55.952380952381</v>
      </c>
      <c r="BP215" s="10" t="n">
        <v>10</v>
      </c>
      <c r="BQ215" s="10" t="n">
        <v>1</v>
      </c>
      <c r="BR215" s="10" t="n">
        <v>0</v>
      </c>
      <c r="BS215" s="10" t="n">
        <v>6</v>
      </c>
      <c r="BT215" s="10" t="n">
        <v>0</v>
      </c>
      <c r="BU215" s="10" t="n">
        <v>0</v>
      </c>
    </row>
    <row r="216" customFormat="false" ht="36.75" hidden="false" customHeight="true" outlineLevel="0" collapsed="false">
      <c r="A216" s="15" t="s">
        <v>48</v>
      </c>
      <c r="B216" s="15"/>
      <c r="C216" s="21" t="n">
        <f aca="false">SUM(C210:C215)</f>
        <v>15</v>
      </c>
      <c r="D216" s="21" t="n">
        <f aca="false">SUM(D210:D215)</f>
        <v>0</v>
      </c>
      <c r="E216" s="21" t="n">
        <f aca="false">SUM(E210:E215)</f>
        <v>15</v>
      </c>
      <c r="F216" s="21" t="n">
        <f aca="false">SUM(F210:F215)</f>
        <v>0</v>
      </c>
      <c r="G216" s="21" t="n">
        <f aca="false">SUM(G210:G215)</f>
        <v>0</v>
      </c>
      <c r="H216" s="31" t="n">
        <f aca="false">SUM(H210:H215)</f>
        <v>1548</v>
      </c>
      <c r="I216" s="31" t="n">
        <f aca="false">SUM(I210:I215)</f>
        <v>1604</v>
      </c>
      <c r="J216" s="31" t="n">
        <f aca="false">SUM(J210:J215)</f>
        <v>765</v>
      </c>
      <c r="K216" s="31" t="n">
        <f aca="false">SUM(K210:K215)</f>
        <v>814</v>
      </c>
      <c r="L216" s="31" t="n">
        <f aca="false">SUM(L210:L215)</f>
        <v>440</v>
      </c>
      <c r="M216" s="31" t="n">
        <f aca="false">SUM(M210:M215)</f>
        <v>480</v>
      </c>
      <c r="N216" s="31" t="n">
        <f aca="false">SUM(J216:M216)</f>
        <v>2499</v>
      </c>
      <c r="O216" s="31" t="n">
        <v>1506</v>
      </c>
      <c r="P216" s="21" t="n">
        <f aca="false">SUM(P210:P215)</f>
        <v>330</v>
      </c>
      <c r="Q216" s="21" t="n">
        <f aca="false">SUM(Q210:Q215)</f>
        <v>0</v>
      </c>
      <c r="R216" s="21" t="n">
        <f aca="false">SUM(R210:R215)</f>
        <v>626</v>
      </c>
      <c r="S216" s="21" t="n">
        <f aca="false">SUM(S210:S215)</f>
        <v>0</v>
      </c>
      <c r="T216" s="21" t="n">
        <f aca="false">SUM(T210:T215)</f>
        <v>319</v>
      </c>
      <c r="U216" s="44" t="n">
        <f aca="false">SUM(U210:U215)</f>
        <v>0</v>
      </c>
      <c r="V216" s="44" t="n">
        <f aca="false">SUM(V210:V215)</f>
        <v>390</v>
      </c>
      <c r="W216" s="44" t="n">
        <f aca="false">SUM(W210:W215)</f>
        <v>0</v>
      </c>
      <c r="X216" s="44" t="n">
        <f aca="false">SUM(X210:X215)</f>
        <v>233</v>
      </c>
      <c r="Y216" s="44" t="n">
        <f aca="false">SUM(Y210:Y215)</f>
        <v>0</v>
      </c>
      <c r="Z216" s="44" t="n">
        <f aca="false">SUM(Z210:Z215)</f>
        <v>253</v>
      </c>
      <c r="AA216" s="44" t="n">
        <f aca="false">SUM(AA210:AA215)</f>
        <v>0</v>
      </c>
      <c r="AB216" s="21" t="n">
        <f aca="false">SUM(AB210:AB215)</f>
        <v>190</v>
      </c>
      <c r="AC216" s="21" t="n">
        <f aca="false">SUM(AC210:AC215)</f>
        <v>0</v>
      </c>
      <c r="AD216" s="21" t="n">
        <f aca="false">SUM(AD210:AD215)</f>
        <v>278</v>
      </c>
      <c r="AE216" s="21" t="n">
        <f aca="false">SUM(AE210:AE215)</f>
        <v>0</v>
      </c>
      <c r="AF216" s="44" t="n">
        <f aca="false">SUM(AF210:AF215)</f>
        <v>196</v>
      </c>
      <c r="AG216" s="44" t="n">
        <f aca="false">SUM(AG210:AG215)</f>
        <v>0</v>
      </c>
      <c r="AH216" s="44" t="n">
        <f aca="false">SUM(AH210:AH215)</f>
        <v>259</v>
      </c>
      <c r="AI216" s="44" t="n">
        <f aca="false">SUM(AI210:AI215)</f>
        <v>0</v>
      </c>
      <c r="AJ216" s="44" t="n">
        <f aca="false">SUM(AJ210:AJ215)</f>
        <v>129</v>
      </c>
      <c r="AK216" s="44" t="n">
        <f aca="false">SUM(AK210:AK215)</f>
        <v>0</v>
      </c>
      <c r="AL216" s="44" t="n">
        <f aca="false">SUM(AL210:AL215)</f>
        <v>153</v>
      </c>
      <c r="AM216" s="44" t="n">
        <f aca="false">SUM(AM210:AM215)</f>
        <v>0</v>
      </c>
      <c r="AN216" s="21" t="n">
        <f aca="false">SUM(AN210:AN215)</f>
        <v>520</v>
      </c>
      <c r="AO216" s="21" t="n">
        <f aca="false">SUM(AO210:AO215)</f>
        <v>0</v>
      </c>
      <c r="AP216" s="21" t="n">
        <f aca="false">SUM(AP210:AP215)</f>
        <v>904</v>
      </c>
      <c r="AQ216" s="21" t="n">
        <f aca="false">SUM(AQ210:AQ215)</f>
        <v>0</v>
      </c>
      <c r="AR216" s="44" t="n">
        <f aca="false">SUM(AR210:AR215)</f>
        <v>515</v>
      </c>
      <c r="AS216" s="44" t="n">
        <f aca="false">SUM(AS210:AS215)</f>
        <v>0</v>
      </c>
      <c r="AT216" s="44" t="n">
        <f aca="false">SUM(AT210:AT215)</f>
        <v>649</v>
      </c>
      <c r="AU216" s="44" t="n">
        <f aca="false">SUM(AU210:AU215)</f>
        <v>0</v>
      </c>
      <c r="AV216" s="44" t="n">
        <f aca="false">SUM(AV210:AV215)</f>
        <v>362</v>
      </c>
      <c r="AW216" s="44" t="n">
        <f aca="false">SUM(AW210:AW215)</f>
        <v>0</v>
      </c>
      <c r="AX216" s="44" t="n">
        <f aca="false">SUM(AX210:AX215)</f>
        <v>406</v>
      </c>
      <c r="AY216" s="44" t="n">
        <f aca="false">SUM(AY210:AY215)</f>
        <v>0</v>
      </c>
      <c r="AZ216" s="21" t="n">
        <f aca="false">SUM(AZ210:AZ215)</f>
        <v>0</v>
      </c>
      <c r="BA216" s="21" t="n">
        <f aca="false">SUM(BA210:BA215)</f>
        <v>520</v>
      </c>
      <c r="BB216" s="21" t="n">
        <f aca="false">SUM(BB210:BB215)</f>
        <v>0</v>
      </c>
      <c r="BC216" s="21" t="n">
        <f aca="false">SUM(BC210:BC215)</f>
        <v>904</v>
      </c>
      <c r="BD216" s="21" t="n">
        <f aca="false">SUM(BD210:BD215)</f>
        <v>0</v>
      </c>
      <c r="BE216" s="21" t="n">
        <f aca="false">SUM(BE210:BE215)</f>
        <v>515</v>
      </c>
      <c r="BF216" s="21" t="n">
        <f aca="false">SUM(BF210:BF215)</f>
        <v>0</v>
      </c>
      <c r="BG216" s="21" t="n">
        <f aca="false">SUM(BG210:BG215)</f>
        <v>649</v>
      </c>
      <c r="BH216" s="21" t="n">
        <f aca="false">SUM(BH210:BH215)</f>
        <v>0</v>
      </c>
      <c r="BI216" s="21" t="n">
        <f aca="false">SUM(BI210:BI215)</f>
        <v>362</v>
      </c>
      <c r="BJ216" s="21" t="n">
        <f aca="false">SUM(BJ210:BJ215)</f>
        <v>0</v>
      </c>
      <c r="BK216" s="21" t="n">
        <f aca="false">SUM(BK210:BK215)</f>
        <v>406</v>
      </c>
      <c r="BL216" s="21" t="n">
        <f aca="false">SUM(BL210:BL215)</f>
        <v>877</v>
      </c>
      <c r="BM216" s="21" t="n">
        <f aca="false">SUM(BM210:BM215)</f>
        <v>1055</v>
      </c>
      <c r="BN216" s="45" t="n">
        <f aca="false">SUM(BN210:BN215)</f>
        <v>1932</v>
      </c>
      <c r="BO216" s="45" t="n">
        <f aca="false">BN216/N216*100</f>
        <v>77.3109243697479</v>
      </c>
      <c r="BP216" s="21" t="n">
        <f aca="false">SUM(BP210:BP215)</f>
        <v>128</v>
      </c>
      <c r="BQ216" s="21" t="n">
        <f aca="false">SUM(BQ210:BQ215)</f>
        <v>1</v>
      </c>
      <c r="BR216" s="21" t="n">
        <f aca="false">SUM(BR210:BR215)</f>
        <v>0</v>
      </c>
      <c r="BS216" s="21" t="n">
        <f aca="false">SUM(BS210:BS215)</f>
        <v>70</v>
      </c>
      <c r="BT216" s="21" t="n">
        <f aca="false">SUM(BT210:BT215)</f>
        <v>0</v>
      </c>
      <c r="BU216" s="21" t="n">
        <f aca="false">SUM(BU210:BU215)</f>
        <v>0</v>
      </c>
    </row>
    <row r="217" customFormat="false" ht="15.75" hidden="false" customHeight="false" outlineLevel="0" collapsed="false"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</row>
    <row r="218" customFormat="false" ht="15.75" hidden="false" customHeight="false" outlineLevel="0" collapsed="false"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</row>
    <row r="219" customFormat="false" ht="15.75" hidden="false" customHeight="false" outlineLevel="0" collapsed="false"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</row>
    <row r="220" customFormat="false" ht="15.75" hidden="false" customHeight="false" outlineLevel="0" collapsed="false"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</row>
    <row r="221" customFormat="false" ht="15.75" hidden="false" customHeight="false" outlineLevel="0" collapsed="false">
      <c r="A221" s="2" t="s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</row>
    <row r="223" customFormat="false" ht="15.75" hidden="false" customHeight="false" outlineLevel="0" collapsed="false">
      <c r="A223" s="3" t="s">
        <v>1</v>
      </c>
      <c r="B223" s="4"/>
      <c r="C223" s="4" t="s">
        <v>2</v>
      </c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</row>
    <row r="224" customFormat="false" ht="15.75" hidden="false" customHeight="false" outlineLevel="0" collapsed="false">
      <c r="A224" s="3" t="s">
        <v>3</v>
      </c>
      <c r="B224" s="4"/>
      <c r="C224" s="4" t="s">
        <v>4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</row>
    <row r="225" customFormat="false" ht="15.75" hidden="false" customHeight="false" outlineLevel="0" collapsed="false">
      <c r="A225" s="3" t="s">
        <v>5</v>
      </c>
      <c r="B225" s="4"/>
      <c r="C225" s="4" t="s">
        <v>64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</row>
    <row r="226" customFormat="false" ht="15.75" hidden="false" customHeight="false" outlineLevel="0" collapsed="false">
      <c r="A226" s="4"/>
      <c r="B226" s="4"/>
      <c r="C226" s="4"/>
      <c r="D226" s="4"/>
      <c r="E226" s="4"/>
      <c r="F226" s="4"/>
      <c r="G226" s="4"/>
      <c r="H226" s="5"/>
      <c r="I226" s="5"/>
      <c r="J226" s="5"/>
      <c r="K226" s="5"/>
      <c r="L226" s="5"/>
      <c r="M226" s="5"/>
      <c r="N226" s="5"/>
      <c r="O226" s="5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</row>
    <row r="227" customFormat="false" ht="33.75" hidden="false" customHeight="true" outlineLevel="0" collapsed="false">
      <c r="A227" s="7" t="s">
        <v>7</v>
      </c>
      <c r="B227" s="8" t="s">
        <v>8</v>
      </c>
      <c r="C227" s="8" t="s">
        <v>9</v>
      </c>
      <c r="D227" s="9" t="s">
        <v>10</v>
      </c>
      <c r="E227" s="9" t="s">
        <v>11</v>
      </c>
      <c r="F227" s="9" t="s">
        <v>12</v>
      </c>
      <c r="G227" s="9" t="s">
        <v>13</v>
      </c>
      <c r="H227" s="10" t="s">
        <v>14</v>
      </c>
      <c r="I227" s="10"/>
      <c r="J227" s="10"/>
      <c r="K227" s="10"/>
      <c r="L227" s="10"/>
      <c r="M227" s="11"/>
      <c r="N227" s="11"/>
      <c r="O227" s="8" t="s">
        <v>15</v>
      </c>
      <c r="P227" s="11" t="s">
        <v>16</v>
      </c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0" t="s">
        <v>17</v>
      </c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7" t="s">
        <v>18</v>
      </c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 t="s">
        <v>19</v>
      </c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8" t="s">
        <v>20</v>
      </c>
      <c r="BM227" s="8"/>
      <c r="BN227" s="8"/>
      <c r="BO227" s="8"/>
      <c r="BP227" s="7" t="s">
        <v>21</v>
      </c>
      <c r="BQ227" s="7"/>
      <c r="BR227" s="7"/>
      <c r="BS227" s="7" t="s">
        <v>21</v>
      </c>
      <c r="BT227" s="7"/>
      <c r="BU227" s="7"/>
    </row>
    <row r="228" customFormat="false" ht="44.25" hidden="false" customHeight="true" outlineLevel="0" collapsed="false">
      <c r="A228" s="7"/>
      <c r="B228" s="8"/>
      <c r="C228" s="8"/>
      <c r="D228" s="9"/>
      <c r="E228" s="9"/>
      <c r="F228" s="9"/>
      <c r="G228" s="9"/>
      <c r="H228" s="7" t="s">
        <v>22</v>
      </c>
      <c r="I228" s="7"/>
      <c r="J228" s="7" t="s">
        <v>23</v>
      </c>
      <c r="K228" s="7"/>
      <c r="L228" s="7" t="s">
        <v>24</v>
      </c>
      <c r="M228" s="7"/>
      <c r="N228" s="12" t="s">
        <v>25</v>
      </c>
      <c r="O228" s="8"/>
      <c r="P228" s="11" t="s">
        <v>22</v>
      </c>
      <c r="Q228" s="11"/>
      <c r="R228" s="11"/>
      <c r="S228" s="11"/>
      <c r="T228" s="10" t="s">
        <v>23</v>
      </c>
      <c r="U228" s="10"/>
      <c r="V228" s="10"/>
      <c r="W228" s="10"/>
      <c r="X228" s="10" t="s">
        <v>24</v>
      </c>
      <c r="Y228" s="10"/>
      <c r="Z228" s="10"/>
      <c r="AA228" s="10"/>
      <c r="AB228" s="10" t="s">
        <v>22</v>
      </c>
      <c r="AC228" s="10"/>
      <c r="AD228" s="10"/>
      <c r="AE228" s="10"/>
      <c r="AF228" s="10" t="s">
        <v>23</v>
      </c>
      <c r="AG228" s="10"/>
      <c r="AH228" s="10"/>
      <c r="AI228" s="10"/>
      <c r="AJ228" s="10" t="s">
        <v>24</v>
      </c>
      <c r="AK228" s="10"/>
      <c r="AL228" s="10"/>
      <c r="AM228" s="10"/>
      <c r="AN228" s="7" t="s">
        <v>22</v>
      </c>
      <c r="AO228" s="7"/>
      <c r="AP228" s="7"/>
      <c r="AQ228" s="7"/>
      <c r="AR228" s="7" t="s">
        <v>23</v>
      </c>
      <c r="AS228" s="7"/>
      <c r="AT228" s="7"/>
      <c r="AU228" s="7"/>
      <c r="AV228" s="7" t="s">
        <v>24</v>
      </c>
      <c r="AW228" s="7"/>
      <c r="AX228" s="7"/>
      <c r="AY228" s="7"/>
      <c r="AZ228" s="7" t="s">
        <v>22</v>
      </c>
      <c r="BA228" s="7"/>
      <c r="BB228" s="7"/>
      <c r="BC228" s="7"/>
      <c r="BD228" s="7" t="s">
        <v>23</v>
      </c>
      <c r="BE228" s="7"/>
      <c r="BF228" s="7"/>
      <c r="BG228" s="7"/>
      <c r="BH228" s="7" t="s">
        <v>24</v>
      </c>
      <c r="BI228" s="7"/>
      <c r="BJ228" s="7"/>
      <c r="BK228" s="7"/>
      <c r="BL228" s="7" t="s">
        <v>26</v>
      </c>
      <c r="BM228" s="7"/>
      <c r="BN228" s="7"/>
      <c r="BO228" s="7"/>
      <c r="BP228" s="7" t="s">
        <v>27</v>
      </c>
      <c r="BQ228" s="7"/>
      <c r="BR228" s="7"/>
      <c r="BS228" s="7" t="s">
        <v>28</v>
      </c>
      <c r="BT228" s="7"/>
      <c r="BU228" s="7"/>
    </row>
    <row r="229" customFormat="false" ht="27" hidden="false" customHeight="true" outlineLevel="0" collapsed="false">
      <c r="A229" s="7"/>
      <c r="B229" s="8"/>
      <c r="C229" s="8"/>
      <c r="D229" s="9"/>
      <c r="E229" s="9"/>
      <c r="F229" s="9"/>
      <c r="G229" s="9"/>
      <c r="H229" s="7" t="s">
        <v>29</v>
      </c>
      <c r="I229" s="7" t="s">
        <v>30</v>
      </c>
      <c r="J229" s="7" t="s">
        <v>29</v>
      </c>
      <c r="K229" s="7" t="s">
        <v>30</v>
      </c>
      <c r="L229" s="7" t="s">
        <v>29</v>
      </c>
      <c r="M229" s="7" t="s">
        <v>30</v>
      </c>
      <c r="N229" s="12"/>
      <c r="O229" s="8"/>
      <c r="P229" s="11" t="s">
        <v>29</v>
      </c>
      <c r="Q229" s="11"/>
      <c r="R229" s="10" t="s">
        <v>30</v>
      </c>
      <c r="S229" s="10"/>
      <c r="T229" s="10" t="s">
        <v>29</v>
      </c>
      <c r="U229" s="10"/>
      <c r="V229" s="10" t="s">
        <v>30</v>
      </c>
      <c r="W229" s="10"/>
      <c r="X229" s="10" t="s">
        <v>29</v>
      </c>
      <c r="Y229" s="10"/>
      <c r="Z229" s="10" t="s">
        <v>30</v>
      </c>
      <c r="AA229" s="10"/>
      <c r="AB229" s="10" t="s">
        <v>29</v>
      </c>
      <c r="AC229" s="10"/>
      <c r="AD229" s="10" t="s">
        <v>30</v>
      </c>
      <c r="AE229" s="10"/>
      <c r="AF229" s="10" t="s">
        <v>29</v>
      </c>
      <c r="AG229" s="10"/>
      <c r="AH229" s="10" t="s">
        <v>30</v>
      </c>
      <c r="AI229" s="10"/>
      <c r="AJ229" s="10" t="s">
        <v>29</v>
      </c>
      <c r="AK229" s="10"/>
      <c r="AL229" s="10" t="s">
        <v>30</v>
      </c>
      <c r="AM229" s="10"/>
      <c r="AN229" s="13" t="s">
        <v>29</v>
      </c>
      <c r="AO229" s="13"/>
      <c r="AP229" s="13" t="s">
        <v>30</v>
      </c>
      <c r="AQ229" s="13"/>
      <c r="AR229" s="13" t="s">
        <v>29</v>
      </c>
      <c r="AS229" s="13"/>
      <c r="AT229" s="13" t="s">
        <v>30</v>
      </c>
      <c r="AU229" s="13"/>
      <c r="AV229" s="13" t="s">
        <v>29</v>
      </c>
      <c r="AW229" s="13"/>
      <c r="AX229" s="13" t="s">
        <v>30</v>
      </c>
      <c r="AY229" s="13"/>
      <c r="AZ229" s="14" t="s">
        <v>29</v>
      </c>
      <c r="BA229" s="14"/>
      <c r="BB229" s="14" t="s">
        <v>30</v>
      </c>
      <c r="BC229" s="14"/>
      <c r="BD229" s="14" t="s">
        <v>29</v>
      </c>
      <c r="BE229" s="14"/>
      <c r="BF229" s="14" t="s">
        <v>30</v>
      </c>
      <c r="BG229" s="14"/>
      <c r="BH229" s="14" t="s">
        <v>29</v>
      </c>
      <c r="BI229" s="14"/>
      <c r="BJ229" s="14" t="s">
        <v>30</v>
      </c>
      <c r="BK229" s="14"/>
      <c r="BL229" s="15" t="s">
        <v>29</v>
      </c>
      <c r="BM229" s="15" t="s">
        <v>30</v>
      </c>
      <c r="BN229" s="15" t="s">
        <v>31</v>
      </c>
      <c r="BO229" s="15" t="s">
        <v>32</v>
      </c>
      <c r="BP229" s="7" t="s">
        <v>33</v>
      </c>
      <c r="BQ229" s="7" t="s">
        <v>34</v>
      </c>
      <c r="BR229" s="7" t="s">
        <v>35</v>
      </c>
      <c r="BS229" s="7" t="s">
        <v>33</v>
      </c>
      <c r="BT229" s="7" t="s">
        <v>34</v>
      </c>
      <c r="BU229" s="7" t="s">
        <v>35</v>
      </c>
    </row>
    <row r="230" customFormat="false" ht="85.5" hidden="false" customHeight="true" outlineLevel="0" collapsed="false">
      <c r="A230" s="7"/>
      <c r="B230" s="8"/>
      <c r="C230" s="8"/>
      <c r="D230" s="9"/>
      <c r="E230" s="9"/>
      <c r="F230" s="9"/>
      <c r="G230" s="9"/>
      <c r="H230" s="7"/>
      <c r="I230" s="7"/>
      <c r="J230" s="7"/>
      <c r="K230" s="7"/>
      <c r="L230" s="7"/>
      <c r="M230" s="7"/>
      <c r="N230" s="12"/>
      <c r="O230" s="8"/>
      <c r="P230" s="16" t="s">
        <v>36</v>
      </c>
      <c r="Q230" s="17" t="s">
        <v>37</v>
      </c>
      <c r="R230" s="17" t="s">
        <v>36</v>
      </c>
      <c r="S230" s="17" t="s">
        <v>37</v>
      </c>
      <c r="T230" s="17" t="s">
        <v>36</v>
      </c>
      <c r="U230" s="17" t="s">
        <v>37</v>
      </c>
      <c r="V230" s="17" t="s">
        <v>36</v>
      </c>
      <c r="W230" s="17" t="s">
        <v>37</v>
      </c>
      <c r="X230" s="17" t="s">
        <v>36</v>
      </c>
      <c r="Y230" s="17" t="s">
        <v>37</v>
      </c>
      <c r="Z230" s="17" t="s">
        <v>36</v>
      </c>
      <c r="AA230" s="17" t="s">
        <v>37</v>
      </c>
      <c r="AB230" s="17" t="s">
        <v>36</v>
      </c>
      <c r="AC230" s="17" t="s">
        <v>37</v>
      </c>
      <c r="AD230" s="17" t="s">
        <v>36</v>
      </c>
      <c r="AE230" s="17" t="s">
        <v>37</v>
      </c>
      <c r="AF230" s="17" t="s">
        <v>36</v>
      </c>
      <c r="AG230" s="17" t="s">
        <v>37</v>
      </c>
      <c r="AH230" s="17" t="s">
        <v>36</v>
      </c>
      <c r="AI230" s="17" t="s">
        <v>37</v>
      </c>
      <c r="AJ230" s="17" t="s">
        <v>36</v>
      </c>
      <c r="AK230" s="17" t="s">
        <v>37</v>
      </c>
      <c r="AL230" s="17" t="s">
        <v>36</v>
      </c>
      <c r="AM230" s="17" t="s">
        <v>37</v>
      </c>
      <c r="AN230" s="18" t="s">
        <v>38</v>
      </c>
      <c r="AO230" s="18" t="s">
        <v>39</v>
      </c>
      <c r="AP230" s="18" t="s">
        <v>38</v>
      </c>
      <c r="AQ230" s="18" t="s">
        <v>39</v>
      </c>
      <c r="AR230" s="18" t="s">
        <v>38</v>
      </c>
      <c r="AS230" s="18" t="s">
        <v>39</v>
      </c>
      <c r="AT230" s="18" t="s">
        <v>38</v>
      </c>
      <c r="AU230" s="18" t="s">
        <v>39</v>
      </c>
      <c r="AV230" s="18" t="s">
        <v>38</v>
      </c>
      <c r="AW230" s="18" t="s">
        <v>39</v>
      </c>
      <c r="AX230" s="18" t="s">
        <v>38</v>
      </c>
      <c r="AY230" s="18" t="s">
        <v>39</v>
      </c>
      <c r="AZ230" s="19" t="s">
        <v>40</v>
      </c>
      <c r="BA230" s="20" t="s">
        <v>41</v>
      </c>
      <c r="BB230" s="19" t="s">
        <v>40</v>
      </c>
      <c r="BC230" s="20" t="s">
        <v>41</v>
      </c>
      <c r="BD230" s="19" t="s">
        <v>40</v>
      </c>
      <c r="BE230" s="20" t="s">
        <v>41</v>
      </c>
      <c r="BF230" s="19" t="s">
        <v>40</v>
      </c>
      <c r="BG230" s="20" t="s">
        <v>41</v>
      </c>
      <c r="BH230" s="19" t="s">
        <v>40</v>
      </c>
      <c r="BI230" s="20" t="s">
        <v>41</v>
      </c>
      <c r="BJ230" s="19" t="s">
        <v>40</v>
      </c>
      <c r="BK230" s="20" t="s">
        <v>41</v>
      </c>
      <c r="BL230" s="21" t="s">
        <v>41</v>
      </c>
      <c r="BM230" s="21" t="s">
        <v>41</v>
      </c>
      <c r="BN230" s="15"/>
      <c r="BO230" s="15"/>
      <c r="BP230" s="7"/>
      <c r="BQ230" s="7"/>
      <c r="BR230" s="7"/>
      <c r="BS230" s="7"/>
      <c r="BT230" s="7"/>
      <c r="BU230" s="7"/>
    </row>
    <row r="231" customFormat="false" ht="13.5" hidden="false" customHeight="true" outlineLevel="0" collapsed="false">
      <c r="A231" s="22" t="n">
        <v>1</v>
      </c>
      <c r="B231" s="23" t="n">
        <v>2</v>
      </c>
      <c r="C231" s="23" t="n">
        <f aca="false">+B231+1</f>
        <v>3</v>
      </c>
      <c r="D231" s="23" t="n">
        <v>4</v>
      </c>
      <c r="E231" s="23" t="n">
        <v>5</v>
      </c>
      <c r="F231" s="23" t="n">
        <v>6</v>
      </c>
      <c r="G231" s="23" t="n">
        <v>7</v>
      </c>
      <c r="H231" s="24" t="n">
        <v>8</v>
      </c>
      <c r="I231" s="24"/>
      <c r="J231" s="24"/>
      <c r="K231" s="24"/>
      <c r="L231" s="24"/>
      <c r="M231" s="24"/>
      <c r="N231" s="25" t="n">
        <v>9</v>
      </c>
      <c r="O231" s="24" t="n">
        <v>10</v>
      </c>
      <c r="P231" s="24" t="n">
        <v>11</v>
      </c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3" t="n">
        <v>12</v>
      </c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13" t="n">
        <v>13</v>
      </c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4" t="n">
        <v>14</v>
      </c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5" t="n">
        <v>15</v>
      </c>
      <c r="BM231" s="15"/>
      <c r="BN231" s="15"/>
      <c r="BO231" s="15"/>
      <c r="BP231" s="24" t="n">
        <v>16</v>
      </c>
      <c r="BQ231" s="24"/>
      <c r="BR231" s="24"/>
      <c r="BS231" s="24" t="n">
        <v>17</v>
      </c>
      <c r="BT231" s="24"/>
      <c r="BU231" s="24"/>
    </row>
    <row r="232" customFormat="false" ht="32.25" hidden="false" customHeight="true" outlineLevel="0" collapsed="false">
      <c r="A232" s="27" t="n">
        <v>1</v>
      </c>
      <c r="B232" s="28" t="s">
        <v>42</v>
      </c>
      <c r="C232" s="10" t="n">
        <v>3</v>
      </c>
      <c r="D232" s="10" t="n">
        <v>0</v>
      </c>
      <c r="E232" s="10" t="n">
        <v>3</v>
      </c>
      <c r="F232" s="10" t="n">
        <v>0</v>
      </c>
      <c r="G232" s="10" t="n">
        <v>0</v>
      </c>
      <c r="H232" s="29" t="n">
        <v>200</v>
      </c>
      <c r="I232" s="29" t="n">
        <v>243</v>
      </c>
      <c r="J232" s="30" t="n">
        <v>180</v>
      </c>
      <c r="K232" s="30" t="n">
        <v>209</v>
      </c>
      <c r="L232" s="30" t="n">
        <v>110</v>
      </c>
      <c r="M232" s="30" t="n">
        <v>117</v>
      </c>
      <c r="N232" s="31" t="n">
        <f aca="false">SUM(J232:M232)</f>
        <v>616</v>
      </c>
      <c r="O232" s="32" t="n">
        <v>0</v>
      </c>
      <c r="P232" s="33" t="n">
        <f aca="false">P210+Q210</f>
        <v>76</v>
      </c>
      <c r="Q232" s="33"/>
      <c r="R232" s="33" t="n">
        <f aca="false">R210+S210</f>
        <v>169</v>
      </c>
      <c r="S232" s="33"/>
      <c r="T232" s="33" t="n">
        <f aca="false">T210+U210</f>
        <v>67</v>
      </c>
      <c r="U232" s="34"/>
      <c r="V232" s="33" t="n">
        <f aca="false">V210+W210</f>
        <v>102</v>
      </c>
      <c r="W232" s="34"/>
      <c r="X232" s="33" t="n">
        <f aca="false">X210+Y210</f>
        <v>101</v>
      </c>
      <c r="Y232" s="34"/>
      <c r="Z232" s="33" t="n">
        <f aca="false">Z210+AA210</f>
        <v>80</v>
      </c>
      <c r="AA232" s="34"/>
      <c r="AB232" s="33" t="n">
        <f aca="false">AB210+AC210</f>
        <v>47</v>
      </c>
      <c r="AC232" s="33"/>
      <c r="AD232" s="33" t="n">
        <f aca="false">AD210+AE210</f>
        <v>81</v>
      </c>
      <c r="AE232" s="33"/>
      <c r="AF232" s="33" t="n">
        <f aca="false">AF210+AG210</f>
        <v>67</v>
      </c>
      <c r="AG232" s="34"/>
      <c r="AH232" s="33" t="n">
        <f aca="false">AH210+AI210</f>
        <v>76</v>
      </c>
      <c r="AI232" s="34"/>
      <c r="AJ232" s="33" t="n">
        <f aca="false">AJ210+AK210</f>
        <v>26</v>
      </c>
      <c r="AK232" s="34"/>
      <c r="AL232" s="33" t="n">
        <f aca="false">AL210+AM210</f>
        <v>34</v>
      </c>
      <c r="AM232" s="34"/>
      <c r="AN232" s="35" t="n">
        <f aca="false">P232+AB232</f>
        <v>123</v>
      </c>
      <c r="AO232" s="35" t="n">
        <f aca="false">Q232+AC232</f>
        <v>0</v>
      </c>
      <c r="AP232" s="35" t="n">
        <f aca="false">R232+AD232</f>
        <v>250</v>
      </c>
      <c r="AQ232" s="35" t="n">
        <f aca="false">S232+AE232</f>
        <v>0</v>
      </c>
      <c r="AR232" s="35" t="n">
        <f aca="false">T232+AF232</f>
        <v>134</v>
      </c>
      <c r="AS232" s="35" t="n">
        <f aca="false">U232+AG232</f>
        <v>0</v>
      </c>
      <c r="AT232" s="35" t="n">
        <f aca="false">V232+AH232</f>
        <v>178</v>
      </c>
      <c r="AU232" s="35" t="n">
        <f aca="false">W232+AI232</f>
        <v>0</v>
      </c>
      <c r="AV232" s="35" t="n">
        <f aca="false">X232+AJ232</f>
        <v>127</v>
      </c>
      <c r="AW232" s="35" t="n">
        <f aca="false">Y232+AK232</f>
        <v>0</v>
      </c>
      <c r="AX232" s="35" t="n">
        <f aca="false">Z232+AL232</f>
        <v>114</v>
      </c>
      <c r="AY232" s="35" t="n">
        <f aca="false">AA232+AM232</f>
        <v>0</v>
      </c>
      <c r="AZ232" s="36" t="n">
        <f aca="false">AO232</f>
        <v>0</v>
      </c>
      <c r="BA232" s="36" t="n">
        <f aca="false">SUM(AN232:AO232)</f>
        <v>123</v>
      </c>
      <c r="BB232" s="36" t="n">
        <f aca="false">S232+AE232</f>
        <v>0</v>
      </c>
      <c r="BC232" s="36" t="n">
        <f aca="false">SUM(AP232:AQ232)</f>
        <v>250</v>
      </c>
      <c r="BD232" s="36" t="n">
        <f aca="false">U232+AG232</f>
        <v>0</v>
      </c>
      <c r="BE232" s="36" t="n">
        <f aca="false">SUM(AR232:AS232)</f>
        <v>134</v>
      </c>
      <c r="BF232" s="36" t="n">
        <f aca="false">W232+AI232</f>
        <v>0</v>
      </c>
      <c r="BG232" s="36" t="n">
        <f aca="false">SUM(AT232:AU232)</f>
        <v>178</v>
      </c>
      <c r="BH232" s="36" t="n">
        <f aca="false">Y232+AK232</f>
        <v>0</v>
      </c>
      <c r="BI232" s="36" t="n">
        <f aca="false">SUM(AV232:AW232)</f>
        <v>127</v>
      </c>
      <c r="BJ232" s="36" t="n">
        <f aca="false">AA232+AM232</f>
        <v>0</v>
      </c>
      <c r="BK232" s="36" t="n">
        <f aca="false">SUM(AX232:AY232)</f>
        <v>114</v>
      </c>
      <c r="BL232" s="37" t="n">
        <f aca="false">BE232+BI232</f>
        <v>261</v>
      </c>
      <c r="BM232" s="37" t="n">
        <f aca="false">BG232+BK232</f>
        <v>292</v>
      </c>
      <c r="BN232" s="38" t="n">
        <f aca="false">BL232+BM232</f>
        <v>553</v>
      </c>
      <c r="BO232" s="39" t="n">
        <f aca="false">BN232/N232*100</f>
        <v>89.7727272727273</v>
      </c>
      <c r="BP232" s="10" t="n">
        <v>32</v>
      </c>
      <c r="BQ232" s="10" t="n">
        <v>0</v>
      </c>
      <c r="BR232" s="10" t="n">
        <v>0</v>
      </c>
      <c r="BS232" s="10" t="n">
        <v>21</v>
      </c>
      <c r="BT232" s="10" t="n">
        <v>0</v>
      </c>
      <c r="BU232" s="10" t="n">
        <v>0</v>
      </c>
    </row>
    <row r="233" customFormat="false" ht="32.25" hidden="false" customHeight="true" outlineLevel="0" collapsed="false">
      <c r="A233" s="27" t="n">
        <v>2</v>
      </c>
      <c r="B233" s="28" t="s">
        <v>43</v>
      </c>
      <c r="C233" s="10" t="n">
        <v>3</v>
      </c>
      <c r="D233" s="10" t="n">
        <v>0</v>
      </c>
      <c r="E233" s="10" t="n">
        <v>3</v>
      </c>
      <c r="F233" s="10" t="n">
        <v>0</v>
      </c>
      <c r="G233" s="10" t="n">
        <v>0</v>
      </c>
      <c r="H233" s="29" t="n">
        <v>385</v>
      </c>
      <c r="I233" s="29" t="n">
        <v>393</v>
      </c>
      <c r="J233" s="30" t="n">
        <v>165</v>
      </c>
      <c r="K233" s="30" t="n">
        <v>177</v>
      </c>
      <c r="L233" s="30" t="n">
        <v>95</v>
      </c>
      <c r="M233" s="30" t="n">
        <v>104</v>
      </c>
      <c r="N233" s="31" t="n">
        <f aca="false">SUM(J233:M233)</f>
        <v>541</v>
      </c>
      <c r="O233" s="32" t="n">
        <v>0</v>
      </c>
      <c r="P233" s="33" t="n">
        <f aca="false">P211+Q211</f>
        <v>70</v>
      </c>
      <c r="Q233" s="33"/>
      <c r="R233" s="33" t="n">
        <f aca="false">R211+S211</f>
        <v>154</v>
      </c>
      <c r="S233" s="33"/>
      <c r="T233" s="33" t="n">
        <f aca="false">T211+U211</f>
        <v>84</v>
      </c>
      <c r="U233" s="34"/>
      <c r="V233" s="33" t="n">
        <f aca="false">V211+W211</f>
        <v>90</v>
      </c>
      <c r="W233" s="34"/>
      <c r="X233" s="33" t="n">
        <f aca="false">X211+Y211</f>
        <v>49</v>
      </c>
      <c r="Y233" s="34"/>
      <c r="Z233" s="33" t="n">
        <f aca="false">Z211+AA211</f>
        <v>62</v>
      </c>
      <c r="AA233" s="34"/>
      <c r="AB233" s="33" t="n">
        <f aca="false">AB211+AC211</f>
        <v>31</v>
      </c>
      <c r="AC233" s="33"/>
      <c r="AD233" s="33" t="n">
        <f aca="false">AD211+AE211</f>
        <v>47</v>
      </c>
      <c r="AE233" s="33"/>
      <c r="AF233" s="33" t="n">
        <f aca="false">AF211+AG211</f>
        <v>36</v>
      </c>
      <c r="AG233" s="34"/>
      <c r="AH233" s="33" t="n">
        <f aca="false">AH211+AI211</f>
        <v>41</v>
      </c>
      <c r="AI233" s="34"/>
      <c r="AJ233" s="33" t="n">
        <f aca="false">AJ211+AK211</f>
        <v>28</v>
      </c>
      <c r="AK233" s="34"/>
      <c r="AL233" s="33" t="n">
        <f aca="false">AL211+AM211</f>
        <v>32</v>
      </c>
      <c r="AM233" s="34"/>
      <c r="AN233" s="35" t="n">
        <f aca="false">P233+AB233</f>
        <v>101</v>
      </c>
      <c r="AO233" s="35" t="n">
        <f aca="false">Q233+AC233</f>
        <v>0</v>
      </c>
      <c r="AP233" s="35" t="n">
        <f aca="false">R233+AD233</f>
        <v>201</v>
      </c>
      <c r="AQ233" s="35" t="n">
        <f aca="false">S233+AE233</f>
        <v>0</v>
      </c>
      <c r="AR233" s="35" t="n">
        <f aca="false">T233+AF233</f>
        <v>120</v>
      </c>
      <c r="AS233" s="35" t="n">
        <f aca="false">U233+AG233</f>
        <v>0</v>
      </c>
      <c r="AT233" s="35" t="n">
        <f aca="false">V233+AH233</f>
        <v>131</v>
      </c>
      <c r="AU233" s="35" t="n">
        <f aca="false">W233+AI233</f>
        <v>0</v>
      </c>
      <c r="AV233" s="35" t="n">
        <f aca="false">X233+AJ233</f>
        <v>77</v>
      </c>
      <c r="AW233" s="35" t="n">
        <f aca="false">Y233+AK233</f>
        <v>0</v>
      </c>
      <c r="AX233" s="35" t="n">
        <f aca="false">Z233+AL233</f>
        <v>94</v>
      </c>
      <c r="AY233" s="35" t="n">
        <f aca="false">AA233+AM233</f>
        <v>0</v>
      </c>
      <c r="AZ233" s="36" t="n">
        <f aca="false">AO233</f>
        <v>0</v>
      </c>
      <c r="BA233" s="36" t="n">
        <f aca="false">SUM(AN233:AO233)</f>
        <v>101</v>
      </c>
      <c r="BB233" s="36" t="n">
        <f aca="false">S233+AE233</f>
        <v>0</v>
      </c>
      <c r="BC233" s="36" t="n">
        <f aca="false">SUM(AP233:AQ233)</f>
        <v>201</v>
      </c>
      <c r="BD233" s="36" t="n">
        <f aca="false">U233+AG233</f>
        <v>0</v>
      </c>
      <c r="BE233" s="36" t="n">
        <f aca="false">SUM(AR233:AS233)</f>
        <v>120</v>
      </c>
      <c r="BF233" s="36" t="n">
        <f aca="false">W233+AI233</f>
        <v>0</v>
      </c>
      <c r="BG233" s="36" t="n">
        <f aca="false">SUM(AT233:AU233)</f>
        <v>131</v>
      </c>
      <c r="BH233" s="36" t="n">
        <f aca="false">Y233+AK233</f>
        <v>0</v>
      </c>
      <c r="BI233" s="36" t="n">
        <f aca="false">SUM(AV233:AW233)</f>
        <v>77</v>
      </c>
      <c r="BJ233" s="36" t="n">
        <f aca="false">AA233+AM233</f>
        <v>0</v>
      </c>
      <c r="BK233" s="36" t="n">
        <f aca="false">SUM(AX233:AY233)</f>
        <v>94</v>
      </c>
      <c r="BL233" s="37" t="n">
        <f aca="false">BE233+BI233</f>
        <v>197</v>
      </c>
      <c r="BM233" s="37" t="n">
        <f aca="false">BG233+BK233</f>
        <v>225</v>
      </c>
      <c r="BN233" s="38" t="n">
        <f aca="false">BL233+BM233</f>
        <v>422</v>
      </c>
      <c r="BO233" s="39" t="n">
        <f aca="false">BN233/N233*100</f>
        <v>78.003696857671</v>
      </c>
      <c r="BP233" s="10" t="n">
        <v>30</v>
      </c>
      <c r="BQ233" s="10" t="n">
        <v>0</v>
      </c>
      <c r="BR233" s="10" t="n">
        <v>0</v>
      </c>
      <c r="BS233" s="10" t="n">
        <v>21</v>
      </c>
      <c r="BT233" s="10" t="n">
        <v>0</v>
      </c>
      <c r="BU233" s="10" t="n">
        <v>0</v>
      </c>
    </row>
    <row r="234" customFormat="false" ht="32.25" hidden="false" customHeight="true" outlineLevel="0" collapsed="false">
      <c r="A234" s="27" t="n">
        <v>3</v>
      </c>
      <c r="B234" s="28" t="s">
        <v>44</v>
      </c>
      <c r="C234" s="10" t="n">
        <v>2</v>
      </c>
      <c r="D234" s="10" t="n">
        <v>0</v>
      </c>
      <c r="E234" s="10" t="n">
        <v>2</v>
      </c>
      <c r="F234" s="10" t="n">
        <v>0</v>
      </c>
      <c r="G234" s="10" t="n">
        <v>0</v>
      </c>
      <c r="H234" s="29" t="n">
        <v>178</v>
      </c>
      <c r="I234" s="29" t="n">
        <v>178</v>
      </c>
      <c r="J234" s="30" t="n">
        <v>70</v>
      </c>
      <c r="K234" s="30" t="n">
        <v>87</v>
      </c>
      <c r="L234" s="30" t="n">
        <v>45</v>
      </c>
      <c r="M234" s="30" t="n">
        <v>46</v>
      </c>
      <c r="N234" s="31" t="n">
        <f aca="false">SUM(J234:M234)</f>
        <v>248</v>
      </c>
      <c r="O234" s="32" t="n">
        <v>0</v>
      </c>
      <c r="P234" s="33" t="n">
        <f aca="false">P212+Q212</f>
        <v>33</v>
      </c>
      <c r="Q234" s="33"/>
      <c r="R234" s="33" t="n">
        <f aca="false">R212+S212</f>
        <v>64</v>
      </c>
      <c r="S234" s="33"/>
      <c r="T234" s="33" t="n">
        <f aca="false">T212+U212</f>
        <v>31</v>
      </c>
      <c r="U234" s="34"/>
      <c r="V234" s="33" t="n">
        <f aca="false">V212+W212</f>
        <v>32</v>
      </c>
      <c r="W234" s="34"/>
      <c r="X234" s="33" t="n">
        <f aca="false">X212+Y212</f>
        <v>15</v>
      </c>
      <c r="Y234" s="34"/>
      <c r="Z234" s="33" t="n">
        <f aca="false">Z212+AA212</f>
        <v>21</v>
      </c>
      <c r="AA234" s="34"/>
      <c r="AB234" s="33" t="n">
        <f aca="false">AB212+AC212</f>
        <v>18</v>
      </c>
      <c r="AC234" s="33"/>
      <c r="AD234" s="33" t="n">
        <f aca="false">AD212+AE212</f>
        <v>22</v>
      </c>
      <c r="AE234" s="33"/>
      <c r="AF234" s="33" t="n">
        <f aca="false">AF212+AG212</f>
        <v>13</v>
      </c>
      <c r="AG234" s="34"/>
      <c r="AH234" s="33" t="n">
        <f aca="false">AH212+AI212</f>
        <v>27</v>
      </c>
      <c r="AI234" s="34"/>
      <c r="AJ234" s="33" t="n">
        <f aca="false">AJ212+AK212</f>
        <v>8</v>
      </c>
      <c r="AK234" s="34"/>
      <c r="AL234" s="33" t="n">
        <f aca="false">AL212+AM212</f>
        <v>14</v>
      </c>
      <c r="AM234" s="34"/>
      <c r="AN234" s="35" t="n">
        <f aca="false">P234+AB234</f>
        <v>51</v>
      </c>
      <c r="AO234" s="35" t="n">
        <f aca="false">Q234+AC234</f>
        <v>0</v>
      </c>
      <c r="AP234" s="35" t="n">
        <f aca="false">R234+AD234</f>
        <v>86</v>
      </c>
      <c r="AQ234" s="35" t="n">
        <f aca="false">S234+AE234</f>
        <v>0</v>
      </c>
      <c r="AR234" s="35" t="n">
        <f aca="false">T234+AF234</f>
        <v>44</v>
      </c>
      <c r="AS234" s="35" t="n">
        <f aca="false">U234+AG234</f>
        <v>0</v>
      </c>
      <c r="AT234" s="35" t="n">
        <f aca="false">V234+AH234</f>
        <v>59</v>
      </c>
      <c r="AU234" s="35" t="n">
        <f aca="false">W234+AI234</f>
        <v>0</v>
      </c>
      <c r="AV234" s="35" t="n">
        <f aca="false">X234+AJ234</f>
        <v>23</v>
      </c>
      <c r="AW234" s="35" t="n">
        <f aca="false">Y234+AK234</f>
        <v>0</v>
      </c>
      <c r="AX234" s="35" t="n">
        <f aca="false">Z234+AL234</f>
        <v>35</v>
      </c>
      <c r="AY234" s="35" t="n">
        <f aca="false">AA234+AM234</f>
        <v>0</v>
      </c>
      <c r="AZ234" s="36" t="n">
        <f aca="false">AO234</f>
        <v>0</v>
      </c>
      <c r="BA234" s="36" t="n">
        <f aca="false">SUM(AN234:AO234)</f>
        <v>51</v>
      </c>
      <c r="BB234" s="36" t="n">
        <f aca="false">S234+AE234</f>
        <v>0</v>
      </c>
      <c r="BC234" s="36" t="n">
        <f aca="false">SUM(AP234:AQ234)</f>
        <v>86</v>
      </c>
      <c r="BD234" s="36" t="n">
        <f aca="false">U234+AG234</f>
        <v>0</v>
      </c>
      <c r="BE234" s="36" t="n">
        <f aca="false">SUM(AR234:AS234)</f>
        <v>44</v>
      </c>
      <c r="BF234" s="36" t="n">
        <f aca="false">W234+AI234</f>
        <v>0</v>
      </c>
      <c r="BG234" s="36" t="n">
        <f aca="false">SUM(AT234:AU234)</f>
        <v>59</v>
      </c>
      <c r="BH234" s="36" t="n">
        <f aca="false">Y234+AK234</f>
        <v>0</v>
      </c>
      <c r="BI234" s="36" t="n">
        <f aca="false">SUM(AV234:AW234)</f>
        <v>23</v>
      </c>
      <c r="BJ234" s="36" t="n">
        <f aca="false">AA234+AM234</f>
        <v>0</v>
      </c>
      <c r="BK234" s="36" t="n">
        <f aca="false">SUM(AX234:AY234)</f>
        <v>35</v>
      </c>
      <c r="BL234" s="37" t="n">
        <f aca="false">BE234+BI234</f>
        <v>67</v>
      </c>
      <c r="BM234" s="37" t="n">
        <f aca="false">BG234+BK234</f>
        <v>94</v>
      </c>
      <c r="BN234" s="38" t="n">
        <f aca="false">BL234+BM234</f>
        <v>161</v>
      </c>
      <c r="BO234" s="39" t="n">
        <f aca="false">BN234/N234*100</f>
        <v>64.9193548387097</v>
      </c>
      <c r="BP234" s="10" t="n">
        <v>1</v>
      </c>
      <c r="BQ234" s="10" t="n">
        <v>0</v>
      </c>
      <c r="BR234" s="10" t="n">
        <v>0</v>
      </c>
      <c r="BS234" s="10" t="n">
        <v>0</v>
      </c>
      <c r="BT234" s="10" t="n">
        <v>0</v>
      </c>
      <c r="BU234" s="10" t="n">
        <v>0</v>
      </c>
    </row>
    <row r="235" customFormat="false" ht="32.25" hidden="false" customHeight="true" outlineLevel="0" collapsed="false">
      <c r="A235" s="27" t="n">
        <v>4</v>
      </c>
      <c r="B235" s="28" t="s">
        <v>45</v>
      </c>
      <c r="C235" s="10" t="n">
        <v>2</v>
      </c>
      <c r="D235" s="10" t="n">
        <v>0</v>
      </c>
      <c r="E235" s="10" t="n">
        <v>2</v>
      </c>
      <c r="F235" s="10" t="n">
        <v>0</v>
      </c>
      <c r="G235" s="10" t="n">
        <v>0</v>
      </c>
      <c r="H235" s="29" t="n">
        <v>245</v>
      </c>
      <c r="I235" s="29" t="n">
        <v>248</v>
      </c>
      <c r="J235" s="30" t="n">
        <v>100</v>
      </c>
      <c r="K235" s="30" t="n">
        <v>117</v>
      </c>
      <c r="L235" s="30" t="n">
        <v>60</v>
      </c>
      <c r="M235" s="30" t="n">
        <v>66</v>
      </c>
      <c r="N235" s="31" t="n">
        <f aca="false">SUM(J235:M235)</f>
        <v>343</v>
      </c>
      <c r="O235" s="32" t="n">
        <v>0</v>
      </c>
      <c r="P235" s="33" t="n">
        <f aca="false">P213+Q213</f>
        <v>39</v>
      </c>
      <c r="Q235" s="42"/>
      <c r="R235" s="33" t="n">
        <f aca="false">R213+S213</f>
        <v>72</v>
      </c>
      <c r="S235" s="33"/>
      <c r="T235" s="33" t="n">
        <f aca="false">T213+U213</f>
        <v>26</v>
      </c>
      <c r="U235" s="34"/>
      <c r="V235" s="33" t="n">
        <f aca="false">V213+W213</f>
        <v>63</v>
      </c>
      <c r="W235" s="34"/>
      <c r="X235" s="33" t="n">
        <f aca="false">X213+Y213</f>
        <v>25</v>
      </c>
      <c r="Y235" s="34"/>
      <c r="Z235" s="33" t="n">
        <f aca="false">Z213+AA213</f>
        <v>30</v>
      </c>
      <c r="AA235" s="34"/>
      <c r="AB235" s="33" t="n">
        <f aca="false">AB213+AC213</f>
        <v>57</v>
      </c>
      <c r="AC235" s="43"/>
      <c r="AD235" s="33" t="n">
        <f aca="false">AD213+AE213</f>
        <v>58</v>
      </c>
      <c r="AE235" s="33"/>
      <c r="AF235" s="33" t="n">
        <f aca="false">AF213+AG213</f>
        <v>40</v>
      </c>
      <c r="AG235" s="34"/>
      <c r="AH235" s="33" t="n">
        <f aca="false">AH213+AI213</f>
        <v>51</v>
      </c>
      <c r="AI235" s="34"/>
      <c r="AJ235" s="33" t="n">
        <f aca="false">AJ213+AK213</f>
        <v>39</v>
      </c>
      <c r="AK235" s="34"/>
      <c r="AL235" s="33" t="n">
        <f aca="false">AL213+AM213</f>
        <v>45</v>
      </c>
      <c r="AM235" s="34"/>
      <c r="AN235" s="35" t="n">
        <f aca="false">P235+AB235</f>
        <v>96</v>
      </c>
      <c r="AO235" s="35" t="n">
        <f aca="false">Q235+AC235</f>
        <v>0</v>
      </c>
      <c r="AP235" s="35" t="n">
        <f aca="false">R235+AD235</f>
        <v>130</v>
      </c>
      <c r="AQ235" s="35" t="n">
        <f aca="false">S235+AE235</f>
        <v>0</v>
      </c>
      <c r="AR235" s="35" t="n">
        <f aca="false">T235+AF235</f>
        <v>66</v>
      </c>
      <c r="AS235" s="35" t="n">
        <f aca="false">U235+AG235</f>
        <v>0</v>
      </c>
      <c r="AT235" s="35" t="n">
        <f aca="false">V235+AH235</f>
        <v>114</v>
      </c>
      <c r="AU235" s="35" t="n">
        <f aca="false">W235+AI235</f>
        <v>0</v>
      </c>
      <c r="AV235" s="35" t="n">
        <f aca="false">X235+AJ235</f>
        <v>64</v>
      </c>
      <c r="AW235" s="35" t="n">
        <f aca="false">Y235+AK235</f>
        <v>0</v>
      </c>
      <c r="AX235" s="35" t="n">
        <f aca="false">Z235+AL235</f>
        <v>75</v>
      </c>
      <c r="AY235" s="35" t="n">
        <f aca="false">AA235+AM235</f>
        <v>0</v>
      </c>
      <c r="AZ235" s="36" t="n">
        <f aca="false">AO235</f>
        <v>0</v>
      </c>
      <c r="BA235" s="36" t="n">
        <f aca="false">SUM(AN235:AO235)</f>
        <v>96</v>
      </c>
      <c r="BB235" s="36" t="n">
        <f aca="false">S235+AE235</f>
        <v>0</v>
      </c>
      <c r="BC235" s="36" t="n">
        <f aca="false">SUM(AP235:AQ235)</f>
        <v>130</v>
      </c>
      <c r="BD235" s="36" t="n">
        <f aca="false">U235+AG235</f>
        <v>0</v>
      </c>
      <c r="BE235" s="36" t="n">
        <f aca="false">SUM(AR235:AS235)</f>
        <v>66</v>
      </c>
      <c r="BF235" s="36" t="n">
        <f aca="false">W235+AI235</f>
        <v>0</v>
      </c>
      <c r="BG235" s="36" t="n">
        <f aca="false">SUM(AT235:AU235)</f>
        <v>114</v>
      </c>
      <c r="BH235" s="36" t="n">
        <f aca="false">Y235+AK235</f>
        <v>0</v>
      </c>
      <c r="BI235" s="36" t="n">
        <f aca="false">SUM(AV235:AW235)</f>
        <v>64</v>
      </c>
      <c r="BJ235" s="36" t="n">
        <f aca="false">AA235+AM235</f>
        <v>0</v>
      </c>
      <c r="BK235" s="36" t="n">
        <f aca="false">SUM(AX235:AY235)</f>
        <v>75</v>
      </c>
      <c r="BL235" s="37" t="n">
        <f aca="false">BE235+BI235</f>
        <v>130</v>
      </c>
      <c r="BM235" s="37" t="n">
        <f aca="false">BG235+BK235</f>
        <v>189</v>
      </c>
      <c r="BN235" s="38" t="n">
        <f aca="false">BL235+BM235</f>
        <v>319</v>
      </c>
      <c r="BO235" s="39" t="n">
        <f aca="false">BN235/N235*100</f>
        <v>93.002915451895</v>
      </c>
      <c r="BP235" s="10" t="n">
        <v>28</v>
      </c>
      <c r="BQ235" s="10" t="n">
        <v>0</v>
      </c>
      <c r="BR235" s="10" t="n">
        <v>0</v>
      </c>
      <c r="BS235" s="10" t="n">
        <v>17</v>
      </c>
      <c r="BT235" s="10" t="n">
        <v>0</v>
      </c>
      <c r="BU235" s="10" t="n">
        <v>0</v>
      </c>
    </row>
    <row r="236" customFormat="false" ht="32.25" hidden="false" customHeight="true" outlineLevel="0" collapsed="false">
      <c r="A236" s="27" t="n">
        <v>5</v>
      </c>
      <c r="B236" s="28" t="s">
        <v>46</v>
      </c>
      <c r="C236" s="10" t="n">
        <v>2</v>
      </c>
      <c r="D236" s="10" t="n">
        <v>0</v>
      </c>
      <c r="E236" s="10" t="n">
        <v>2</v>
      </c>
      <c r="F236" s="10" t="n">
        <v>0</v>
      </c>
      <c r="G236" s="10" t="n">
        <v>0</v>
      </c>
      <c r="H236" s="29" t="n">
        <v>238</v>
      </c>
      <c r="I236" s="29" t="n">
        <v>239</v>
      </c>
      <c r="J236" s="30" t="n">
        <v>95</v>
      </c>
      <c r="K236" s="30" t="n">
        <v>114</v>
      </c>
      <c r="L236" s="30" t="n">
        <v>55</v>
      </c>
      <c r="M236" s="30" t="n">
        <v>67</v>
      </c>
      <c r="N236" s="31" t="n">
        <f aca="false">SUM(J236:M236)</f>
        <v>331</v>
      </c>
      <c r="O236" s="32" t="n">
        <v>0</v>
      </c>
      <c r="P236" s="33" t="n">
        <f aca="false">P214+Q214</f>
        <v>47</v>
      </c>
      <c r="Q236" s="43"/>
      <c r="R236" s="33" t="n">
        <f aca="false">R214+S214</f>
        <v>83</v>
      </c>
      <c r="S236" s="33"/>
      <c r="T236" s="33" t="n">
        <f aca="false">T214+U214</f>
        <v>68</v>
      </c>
      <c r="U236" s="34"/>
      <c r="V236" s="33" t="n">
        <f aca="false">V214+W214</f>
        <v>65</v>
      </c>
      <c r="W236" s="34"/>
      <c r="X236" s="33" t="n">
        <f aca="false">X214+Y214</f>
        <v>17</v>
      </c>
      <c r="Y236" s="34"/>
      <c r="Z236" s="33" t="n">
        <f aca="false">Z214+AA214</f>
        <v>27</v>
      </c>
      <c r="AA236" s="34"/>
      <c r="AB236" s="33" t="n">
        <f aca="false">AB214+AC214</f>
        <v>12</v>
      </c>
      <c r="AC236" s="43"/>
      <c r="AD236" s="33" t="n">
        <f aca="false">AD214+AE214</f>
        <v>40</v>
      </c>
      <c r="AE236" s="33"/>
      <c r="AF236" s="33" t="n">
        <f aca="false">AF214+AG214</f>
        <v>13</v>
      </c>
      <c r="AG236" s="34"/>
      <c r="AH236" s="33" t="n">
        <f aca="false">AH214+AI214</f>
        <v>35</v>
      </c>
      <c r="AI236" s="34"/>
      <c r="AJ236" s="33" t="n">
        <f aca="false">AJ214+AK214</f>
        <v>8</v>
      </c>
      <c r="AK236" s="34"/>
      <c r="AL236" s="33" t="n">
        <f aca="false">AL214+AM214</f>
        <v>9</v>
      </c>
      <c r="AM236" s="34"/>
      <c r="AN236" s="35" t="n">
        <f aca="false">P236+AB236</f>
        <v>59</v>
      </c>
      <c r="AO236" s="35" t="n">
        <f aca="false">Q236+AC236</f>
        <v>0</v>
      </c>
      <c r="AP236" s="35" t="n">
        <f aca="false">R236+AD236</f>
        <v>123</v>
      </c>
      <c r="AQ236" s="35" t="n">
        <f aca="false">S236+AE236</f>
        <v>0</v>
      </c>
      <c r="AR236" s="35" t="n">
        <f aca="false">T236+AF236</f>
        <v>81</v>
      </c>
      <c r="AS236" s="35" t="n">
        <f aca="false">U236+AG236</f>
        <v>0</v>
      </c>
      <c r="AT236" s="35" t="n">
        <f aca="false">V236+AH236</f>
        <v>100</v>
      </c>
      <c r="AU236" s="35" t="n">
        <f aca="false">W236+AI236</f>
        <v>0</v>
      </c>
      <c r="AV236" s="35" t="n">
        <f aca="false">X236+AJ236</f>
        <v>25</v>
      </c>
      <c r="AW236" s="35" t="n">
        <f aca="false">Y236+AK236</f>
        <v>0</v>
      </c>
      <c r="AX236" s="35" t="n">
        <f aca="false">Z236+AL236</f>
        <v>36</v>
      </c>
      <c r="AY236" s="35" t="n">
        <f aca="false">AA236+AM236</f>
        <v>0</v>
      </c>
      <c r="AZ236" s="36" t="n">
        <f aca="false">AO236</f>
        <v>0</v>
      </c>
      <c r="BA236" s="36" t="n">
        <f aca="false">SUM(AN236:AO236)</f>
        <v>59</v>
      </c>
      <c r="BB236" s="36" t="n">
        <f aca="false">S236+AE236</f>
        <v>0</v>
      </c>
      <c r="BC236" s="36" t="n">
        <f aca="false">SUM(AP236:AQ236)</f>
        <v>123</v>
      </c>
      <c r="BD236" s="36" t="n">
        <f aca="false">U236+AG236</f>
        <v>0</v>
      </c>
      <c r="BE236" s="36" t="n">
        <f aca="false">SUM(AR236:AS236)</f>
        <v>81</v>
      </c>
      <c r="BF236" s="36" t="n">
        <f aca="false">W236+AI236</f>
        <v>0</v>
      </c>
      <c r="BG236" s="36" t="n">
        <f aca="false">SUM(AT236:AU236)</f>
        <v>100</v>
      </c>
      <c r="BH236" s="36" t="n">
        <f aca="false">Y236+AK236</f>
        <v>0</v>
      </c>
      <c r="BI236" s="36" t="n">
        <f aca="false">SUM(AV236:AW236)</f>
        <v>25</v>
      </c>
      <c r="BJ236" s="36" t="n">
        <f aca="false">AA236+AM236</f>
        <v>0</v>
      </c>
      <c r="BK236" s="36" t="n">
        <f aca="false">SUM(AX236:AY236)</f>
        <v>36</v>
      </c>
      <c r="BL236" s="37" t="n">
        <f aca="false">BE236+BI236</f>
        <v>106</v>
      </c>
      <c r="BM236" s="37" t="n">
        <f aca="false">BG236+BK236</f>
        <v>136</v>
      </c>
      <c r="BN236" s="38" t="n">
        <f aca="false">BL236+BM236</f>
        <v>242</v>
      </c>
      <c r="BO236" s="39" t="n">
        <f aca="false">BN236/N236*100</f>
        <v>73.1117824773414</v>
      </c>
      <c r="BP236" s="10" t="n">
        <v>27</v>
      </c>
      <c r="BQ236" s="10" t="n">
        <v>0</v>
      </c>
      <c r="BR236" s="10" t="n">
        <v>0</v>
      </c>
      <c r="BS236" s="10" t="n">
        <v>5</v>
      </c>
      <c r="BT236" s="10" t="n">
        <v>0</v>
      </c>
      <c r="BU236" s="10" t="n">
        <v>0</v>
      </c>
    </row>
    <row r="237" customFormat="false" ht="32.25" hidden="false" customHeight="true" outlineLevel="0" collapsed="false">
      <c r="A237" s="27" t="n">
        <v>5</v>
      </c>
      <c r="B237" s="28" t="s">
        <v>47</v>
      </c>
      <c r="C237" s="10" t="n">
        <v>3</v>
      </c>
      <c r="D237" s="10" t="n">
        <v>0</v>
      </c>
      <c r="E237" s="10" t="n">
        <v>3</v>
      </c>
      <c r="F237" s="10" t="n">
        <v>0</v>
      </c>
      <c r="G237" s="10" t="n">
        <v>0</v>
      </c>
      <c r="H237" s="29" t="n">
        <v>302</v>
      </c>
      <c r="I237" s="29" t="n">
        <v>303</v>
      </c>
      <c r="J237" s="30" t="n">
        <v>155</v>
      </c>
      <c r="K237" s="30" t="n">
        <v>110</v>
      </c>
      <c r="L237" s="30" t="n">
        <v>75</v>
      </c>
      <c r="M237" s="30" t="n">
        <v>80</v>
      </c>
      <c r="N237" s="31" t="n">
        <f aca="false">SUM(J237:M237)</f>
        <v>420</v>
      </c>
      <c r="O237" s="32" t="n">
        <v>0</v>
      </c>
      <c r="P237" s="33" t="n">
        <f aca="false">P215+Q215</f>
        <v>65</v>
      </c>
      <c r="Q237" s="33"/>
      <c r="R237" s="33" t="n">
        <f aca="false">R215+S215</f>
        <v>84</v>
      </c>
      <c r="S237" s="33"/>
      <c r="T237" s="33" t="n">
        <f aca="false">T215+U215</f>
        <v>43</v>
      </c>
      <c r="U237" s="34"/>
      <c r="V237" s="33" t="n">
        <f aca="false">V215+W215</f>
        <v>38</v>
      </c>
      <c r="W237" s="34"/>
      <c r="X237" s="33" t="n">
        <f aca="false">X215+Y215</f>
        <v>26</v>
      </c>
      <c r="Y237" s="34"/>
      <c r="Z237" s="33" t="n">
        <f aca="false">Z215+AA215</f>
        <v>33</v>
      </c>
      <c r="AA237" s="34"/>
      <c r="AB237" s="33" t="n">
        <f aca="false">AB215+AC215</f>
        <v>25</v>
      </c>
      <c r="AC237" s="33"/>
      <c r="AD237" s="33" t="n">
        <f aca="false">AD215+AE215</f>
        <v>30</v>
      </c>
      <c r="AE237" s="33"/>
      <c r="AF237" s="33" t="n">
        <f aca="false">AF215+AG215</f>
        <v>27</v>
      </c>
      <c r="AG237" s="34"/>
      <c r="AH237" s="33" t="n">
        <f aca="false">AH215+AI215</f>
        <v>29</v>
      </c>
      <c r="AI237" s="34"/>
      <c r="AJ237" s="33" t="n">
        <f aca="false">AJ215+AK215</f>
        <v>20</v>
      </c>
      <c r="AK237" s="34"/>
      <c r="AL237" s="33" t="n">
        <f aca="false">AL215+AM215</f>
        <v>19</v>
      </c>
      <c r="AM237" s="34"/>
      <c r="AN237" s="35" t="n">
        <f aca="false">P237+AB237</f>
        <v>90</v>
      </c>
      <c r="AO237" s="35" t="n">
        <f aca="false">Q237+AC237</f>
        <v>0</v>
      </c>
      <c r="AP237" s="35" t="n">
        <f aca="false">R237+AD237</f>
        <v>114</v>
      </c>
      <c r="AQ237" s="35" t="n">
        <f aca="false">S237+AE237</f>
        <v>0</v>
      </c>
      <c r="AR237" s="35" t="n">
        <f aca="false">T237+AF237</f>
        <v>70</v>
      </c>
      <c r="AS237" s="35" t="n">
        <f aca="false">U237+AG237</f>
        <v>0</v>
      </c>
      <c r="AT237" s="35" t="n">
        <f aca="false">V237+AH237</f>
        <v>67</v>
      </c>
      <c r="AU237" s="35" t="n">
        <f aca="false">W237+AI237</f>
        <v>0</v>
      </c>
      <c r="AV237" s="35" t="n">
        <f aca="false">X237+AJ237</f>
        <v>46</v>
      </c>
      <c r="AW237" s="35" t="n">
        <f aca="false">Y237+AK237</f>
        <v>0</v>
      </c>
      <c r="AX237" s="35" t="n">
        <f aca="false">Z237+AL237</f>
        <v>52</v>
      </c>
      <c r="AY237" s="35" t="n">
        <f aca="false">AA237+AM237</f>
        <v>0</v>
      </c>
      <c r="AZ237" s="36" t="n">
        <f aca="false">AO237</f>
        <v>0</v>
      </c>
      <c r="BA237" s="36" t="n">
        <f aca="false">SUM(AN237:AO237)</f>
        <v>90</v>
      </c>
      <c r="BB237" s="36" t="n">
        <f aca="false">S237+AE237</f>
        <v>0</v>
      </c>
      <c r="BC237" s="36" t="n">
        <f aca="false">SUM(AP237:AQ237)</f>
        <v>114</v>
      </c>
      <c r="BD237" s="36" t="n">
        <f aca="false">U237+AG237</f>
        <v>0</v>
      </c>
      <c r="BE237" s="36" t="n">
        <f aca="false">SUM(AR237:AS237)</f>
        <v>70</v>
      </c>
      <c r="BF237" s="36" t="n">
        <f aca="false">W237+AI237</f>
        <v>0</v>
      </c>
      <c r="BG237" s="36" t="n">
        <f aca="false">SUM(AT237:AU237)</f>
        <v>67</v>
      </c>
      <c r="BH237" s="36" t="n">
        <f aca="false">Y237+AK237</f>
        <v>0</v>
      </c>
      <c r="BI237" s="36" t="n">
        <f aca="false">SUM(AV237:AW237)</f>
        <v>46</v>
      </c>
      <c r="BJ237" s="36" t="n">
        <f aca="false">AA237+AM237</f>
        <v>0</v>
      </c>
      <c r="BK237" s="36" t="n">
        <f aca="false">SUM(AX237:AY237)</f>
        <v>52</v>
      </c>
      <c r="BL237" s="37" t="n">
        <f aca="false">BE237+BI237</f>
        <v>116</v>
      </c>
      <c r="BM237" s="37" t="n">
        <f aca="false">BG237+BK237</f>
        <v>119</v>
      </c>
      <c r="BN237" s="38" t="n">
        <f aca="false">BL237+BM237</f>
        <v>235</v>
      </c>
      <c r="BO237" s="39" t="n">
        <f aca="false">BN237/N237*100</f>
        <v>55.952380952381</v>
      </c>
      <c r="BP237" s="10" t="n">
        <v>10</v>
      </c>
      <c r="BQ237" s="10" t="n">
        <v>1</v>
      </c>
      <c r="BR237" s="10" t="n">
        <v>0</v>
      </c>
      <c r="BS237" s="10" t="n">
        <v>6</v>
      </c>
      <c r="BT237" s="10" t="n">
        <v>0</v>
      </c>
      <c r="BU237" s="10" t="n">
        <v>0</v>
      </c>
    </row>
    <row r="238" customFormat="false" ht="36.75" hidden="false" customHeight="true" outlineLevel="0" collapsed="false">
      <c r="A238" s="15" t="s">
        <v>48</v>
      </c>
      <c r="B238" s="15"/>
      <c r="C238" s="21" t="n">
        <f aca="false">SUM(C232:C237)</f>
        <v>15</v>
      </c>
      <c r="D238" s="21" t="n">
        <f aca="false">SUM(D232:D237)</f>
        <v>0</v>
      </c>
      <c r="E238" s="21" t="n">
        <f aca="false">SUM(E232:E237)</f>
        <v>15</v>
      </c>
      <c r="F238" s="21" t="n">
        <f aca="false">SUM(F232:F237)</f>
        <v>0</v>
      </c>
      <c r="G238" s="21" t="n">
        <f aca="false">SUM(G232:G237)</f>
        <v>0</v>
      </c>
      <c r="H238" s="31" t="n">
        <f aca="false">SUM(H232:H237)</f>
        <v>1548</v>
      </c>
      <c r="I238" s="31" t="n">
        <f aca="false">SUM(I232:I237)</f>
        <v>1604</v>
      </c>
      <c r="J238" s="31" t="n">
        <f aca="false">SUM(J232:J237)</f>
        <v>765</v>
      </c>
      <c r="K238" s="31" t="n">
        <f aca="false">SUM(K232:K237)</f>
        <v>814</v>
      </c>
      <c r="L238" s="31" t="n">
        <f aca="false">SUM(L232:L237)</f>
        <v>440</v>
      </c>
      <c r="M238" s="31" t="n">
        <f aca="false">SUM(M232:M237)</f>
        <v>480</v>
      </c>
      <c r="N238" s="31" t="n">
        <f aca="false">SUM(J238:M238)</f>
        <v>2499</v>
      </c>
      <c r="O238" s="31" t="n">
        <v>1506</v>
      </c>
      <c r="P238" s="21" t="n">
        <f aca="false">SUM(P232:P237)</f>
        <v>330</v>
      </c>
      <c r="Q238" s="21" t="n">
        <f aca="false">SUM(Q232:Q237)</f>
        <v>0</v>
      </c>
      <c r="R238" s="21" t="n">
        <f aca="false">SUM(R232:R237)</f>
        <v>626</v>
      </c>
      <c r="S238" s="21" t="n">
        <f aca="false">SUM(S232:S237)</f>
        <v>0</v>
      </c>
      <c r="T238" s="21" t="n">
        <f aca="false">SUM(T232:T237)</f>
        <v>319</v>
      </c>
      <c r="U238" s="44" t="n">
        <f aca="false">SUM(U232:U237)</f>
        <v>0</v>
      </c>
      <c r="V238" s="44" t="n">
        <f aca="false">SUM(V232:V237)</f>
        <v>390</v>
      </c>
      <c r="W238" s="44" t="n">
        <f aca="false">SUM(W232:W237)</f>
        <v>0</v>
      </c>
      <c r="X238" s="44" t="n">
        <f aca="false">SUM(X232:X237)</f>
        <v>233</v>
      </c>
      <c r="Y238" s="44" t="n">
        <f aca="false">SUM(Y232:Y237)</f>
        <v>0</v>
      </c>
      <c r="Z238" s="44" t="n">
        <f aca="false">SUM(Z232:Z237)</f>
        <v>253</v>
      </c>
      <c r="AA238" s="44" t="n">
        <f aca="false">SUM(AA232:AA237)</f>
        <v>0</v>
      </c>
      <c r="AB238" s="21" t="n">
        <f aca="false">SUM(AB232:AB237)</f>
        <v>190</v>
      </c>
      <c r="AC238" s="21" t="n">
        <f aca="false">SUM(AC232:AC237)</f>
        <v>0</v>
      </c>
      <c r="AD238" s="21" t="n">
        <f aca="false">SUM(AD232:AD237)</f>
        <v>278</v>
      </c>
      <c r="AE238" s="21" t="n">
        <f aca="false">SUM(AE232:AE237)</f>
        <v>0</v>
      </c>
      <c r="AF238" s="44" t="n">
        <f aca="false">SUM(AF232:AF237)</f>
        <v>196</v>
      </c>
      <c r="AG238" s="44" t="n">
        <f aca="false">SUM(AG232:AG237)</f>
        <v>0</v>
      </c>
      <c r="AH238" s="44" t="n">
        <f aca="false">SUM(AH232:AH237)</f>
        <v>259</v>
      </c>
      <c r="AI238" s="44" t="n">
        <f aca="false">SUM(AI232:AI237)</f>
        <v>0</v>
      </c>
      <c r="AJ238" s="44" t="n">
        <f aca="false">SUM(AJ232:AJ237)</f>
        <v>129</v>
      </c>
      <c r="AK238" s="44" t="n">
        <f aca="false">SUM(AK232:AK237)</f>
        <v>0</v>
      </c>
      <c r="AL238" s="44" t="n">
        <f aca="false">SUM(AL232:AL237)</f>
        <v>153</v>
      </c>
      <c r="AM238" s="44" t="n">
        <f aca="false">SUM(AM232:AM237)</f>
        <v>0</v>
      </c>
      <c r="AN238" s="21" t="n">
        <f aca="false">SUM(AN232:AN237)</f>
        <v>520</v>
      </c>
      <c r="AO238" s="21" t="n">
        <f aca="false">SUM(AO232:AO237)</f>
        <v>0</v>
      </c>
      <c r="AP238" s="21" t="n">
        <f aca="false">SUM(AP232:AP237)</f>
        <v>904</v>
      </c>
      <c r="AQ238" s="21" t="n">
        <f aca="false">SUM(AQ232:AQ237)</f>
        <v>0</v>
      </c>
      <c r="AR238" s="44" t="n">
        <f aca="false">SUM(AR232:AR237)</f>
        <v>515</v>
      </c>
      <c r="AS238" s="44" t="n">
        <f aca="false">SUM(AS232:AS237)</f>
        <v>0</v>
      </c>
      <c r="AT238" s="44" t="n">
        <f aca="false">SUM(AT232:AT237)</f>
        <v>649</v>
      </c>
      <c r="AU238" s="44" t="n">
        <f aca="false">SUM(AU232:AU237)</f>
        <v>0</v>
      </c>
      <c r="AV238" s="44" t="n">
        <f aca="false">SUM(AV232:AV237)</f>
        <v>362</v>
      </c>
      <c r="AW238" s="44" t="n">
        <f aca="false">SUM(AW232:AW237)</f>
        <v>0</v>
      </c>
      <c r="AX238" s="44" t="n">
        <f aca="false">SUM(AX232:AX237)</f>
        <v>406</v>
      </c>
      <c r="AY238" s="44" t="n">
        <f aca="false">SUM(AY232:AY237)</f>
        <v>0</v>
      </c>
      <c r="AZ238" s="21" t="n">
        <f aca="false">SUM(AZ232:AZ237)</f>
        <v>0</v>
      </c>
      <c r="BA238" s="21" t="n">
        <f aca="false">SUM(BA232:BA237)</f>
        <v>520</v>
      </c>
      <c r="BB238" s="21" t="n">
        <f aca="false">SUM(BB232:BB237)</f>
        <v>0</v>
      </c>
      <c r="BC238" s="21" t="n">
        <f aca="false">SUM(BC232:BC237)</f>
        <v>904</v>
      </c>
      <c r="BD238" s="21" t="n">
        <f aca="false">SUM(BD232:BD237)</f>
        <v>0</v>
      </c>
      <c r="BE238" s="21" t="n">
        <f aca="false">SUM(BE232:BE237)</f>
        <v>515</v>
      </c>
      <c r="BF238" s="21" t="n">
        <f aca="false">SUM(BF232:BF237)</f>
        <v>0</v>
      </c>
      <c r="BG238" s="21" t="n">
        <f aca="false">SUM(BG232:BG237)</f>
        <v>649</v>
      </c>
      <c r="BH238" s="21" t="n">
        <f aca="false">SUM(BH232:BH237)</f>
        <v>0</v>
      </c>
      <c r="BI238" s="21" t="n">
        <f aca="false">SUM(BI232:BI237)</f>
        <v>362</v>
      </c>
      <c r="BJ238" s="21" t="n">
        <f aca="false">SUM(BJ232:BJ237)</f>
        <v>0</v>
      </c>
      <c r="BK238" s="21" t="n">
        <f aca="false">SUM(BK232:BK237)</f>
        <v>406</v>
      </c>
      <c r="BL238" s="21" t="n">
        <f aca="false">SUM(BL232:BL237)</f>
        <v>877</v>
      </c>
      <c r="BM238" s="21" t="n">
        <f aca="false">SUM(BM232:BM237)</f>
        <v>1055</v>
      </c>
      <c r="BN238" s="45" t="n">
        <f aca="false">SUM(BN232:BN237)</f>
        <v>1932</v>
      </c>
      <c r="BO238" s="45" t="n">
        <f aca="false">BN238/N238*100</f>
        <v>77.3109243697479</v>
      </c>
      <c r="BP238" s="21" t="n">
        <f aca="false">SUM(BP232:BP237)</f>
        <v>128</v>
      </c>
      <c r="BQ238" s="21" t="n">
        <f aca="false">SUM(BQ232:BQ237)</f>
        <v>1</v>
      </c>
      <c r="BR238" s="21" t="n">
        <f aca="false">SUM(BR232:BR237)</f>
        <v>0</v>
      </c>
      <c r="BS238" s="21" t="n">
        <f aca="false">SUM(BS232:BS237)</f>
        <v>70</v>
      </c>
      <c r="BT238" s="21" t="n">
        <f aca="false">SUM(BT232:BT237)</f>
        <v>0</v>
      </c>
      <c r="BU238" s="21" t="n">
        <f aca="false">SUM(BU232:BU237)</f>
        <v>0</v>
      </c>
    </row>
    <row r="239" customFormat="false" ht="15.75" hidden="false" customHeight="false" outlineLevel="0" collapsed="false"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</row>
    <row r="240" customFormat="false" ht="15.75" hidden="false" customHeight="false" outlineLevel="0" collapsed="false"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</row>
    <row r="241" customFormat="false" ht="15.75" hidden="false" customHeight="false" outlineLevel="0" collapsed="false"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</row>
    <row r="242" customFormat="false" ht="15.75" hidden="false" customHeight="false" outlineLevel="0" collapsed="false"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</row>
    <row r="243" customFormat="false" ht="15.75" hidden="false" customHeight="false" outlineLevel="0" collapsed="false">
      <c r="A243" s="2" t="s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</row>
    <row r="245" customFormat="false" ht="15.75" hidden="false" customHeight="false" outlineLevel="0" collapsed="false">
      <c r="A245" s="3" t="s">
        <v>1</v>
      </c>
      <c r="B245" s="4"/>
      <c r="C245" s="4" t="s">
        <v>2</v>
      </c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</row>
    <row r="246" customFormat="false" ht="15.75" hidden="false" customHeight="false" outlineLevel="0" collapsed="false">
      <c r="A246" s="3" t="s">
        <v>3</v>
      </c>
      <c r="B246" s="4"/>
      <c r="C246" s="4" t="s">
        <v>4</v>
      </c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</row>
    <row r="247" customFormat="false" ht="15.75" hidden="false" customHeight="false" outlineLevel="0" collapsed="false">
      <c r="A247" s="3" t="s">
        <v>5</v>
      </c>
      <c r="B247" s="4"/>
      <c r="C247" s="4" t="s">
        <v>65</v>
      </c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</row>
    <row r="248" customFormat="false" ht="15.75" hidden="false" customHeight="false" outlineLevel="0" collapsed="false">
      <c r="A248" s="4"/>
      <c r="B248" s="4"/>
      <c r="C248" s="4"/>
      <c r="D248" s="4"/>
      <c r="E248" s="4"/>
      <c r="F248" s="4"/>
      <c r="G248" s="4"/>
      <c r="H248" s="5"/>
      <c r="I248" s="5"/>
      <c r="J248" s="5"/>
      <c r="K248" s="5"/>
      <c r="L248" s="5"/>
      <c r="M248" s="5"/>
      <c r="N248" s="5"/>
      <c r="O248" s="5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</row>
    <row r="249" customFormat="false" ht="33.75" hidden="false" customHeight="true" outlineLevel="0" collapsed="false">
      <c r="A249" s="7" t="s">
        <v>7</v>
      </c>
      <c r="B249" s="8" t="s">
        <v>8</v>
      </c>
      <c r="C249" s="8" t="s">
        <v>9</v>
      </c>
      <c r="D249" s="9" t="s">
        <v>10</v>
      </c>
      <c r="E249" s="9" t="s">
        <v>11</v>
      </c>
      <c r="F249" s="9" t="s">
        <v>12</v>
      </c>
      <c r="G249" s="9" t="s">
        <v>13</v>
      </c>
      <c r="H249" s="10" t="s">
        <v>14</v>
      </c>
      <c r="I249" s="10"/>
      <c r="J249" s="10"/>
      <c r="K249" s="10"/>
      <c r="L249" s="10"/>
      <c r="M249" s="11"/>
      <c r="N249" s="11"/>
      <c r="O249" s="8" t="s">
        <v>15</v>
      </c>
      <c r="P249" s="11" t="s">
        <v>16</v>
      </c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0" t="s">
        <v>17</v>
      </c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7" t="s">
        <v>18</v>
      </c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 t="s">
        <v>19</v>
      </c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8" t="s">
        <v>20</v>
      </c>
      <c r="BM249" s="8"/>
      <c r="BN249" s="8"/>
      <c r="BO249" s="8"/>
      <c r="BP249" s="7" t="s">
        <v>21</v>
      </c>
      <c r="BQ249" s="7"/>
      <c r="BR249" s="7"/>
      <c r="BS249" s="7" t="s">
        <v>21</v>
      </c>
      <c r="BT249" s="7"/>
      <c r="BU249" s="7"/>
    </row>
    <row r="250" customFormat="false" ht="44.25" hidden="false" customHeight="true" outlineLevel="0" collapsed="false">
      <c r="A250" s="7"/>
      <c r="B250" s="8"/>
      <c r="C250" s="8"/>
      <c r="D250" s="9"/>
      <c r="E250" s="9"/>
      <c r="F250" s="9"/>
      <c r="G250" s="9"/>
      <c r="H250" s="7" t="s">
        <v>22</v>
      </c>
      <c r="I250" s="7"/>
      <c r="J250" s="7" t="s">
        <v>23</v>
      </c>
      <c r="K250" s="7"/>
      <c r="L250" s="7" t="s">
        <v>24</v>
      </c>
      <c r="M250" s="7"/>
      <c r="N250" s="12" t="s">
        <v>25</v>
      </c>
      <c r="O250" s="8"/>
      <c r="P250" s="11" t="s">
        <v>22</v>
      </c>
      <c r="Q250" s="11"/>
      <c r="R250" s="11"/>
      <c r="S250" s="11"/>
      <c r="T250" s="10" t="s">
        <v>23</v>
      </c>
      <c r="U250" s="10"/>
      <c r="V250" s="10"/>
      <c r="W250" s="10"/>
      <c r="X250" s="10" t="s">
        <v>24</v>
      </c>
      <c r="Y250" s="10"/>
      <c r="Z250" s="10"/>
      <c r="AA250" s="10"/>
      <c r="AB250" s="10" t="s">
        <v>22</v>
      </c>
      <c r="AC250" s="10"/>
      <c r="AD250" s="10"/>
      <c r="AE250" s="10"/>
      <c r="AF250" s="10" t="s">
        <v>23</v>
      </c>
      <c r="AG250" s="10"/>
      <c r="AH250" s="10"/>
      <c r="AI250" s="10"/>
      <c r="AJ250" s="10" t="s">
        <v>24</v>
      </c>
      <c r="AK250" s="10"/>
      <c r="AL250" s="10"/>
      <c r="AM250" s="10"/>
      <c r="AN250" s="7" t="s">
        <v>22</v>
      </c>
      <c r="AO250" s="7"/>
      <c r="AP250" s="7"/>
      <c r="AQ250" s="7"/>
      <c r="AR250" s="7" t="s">
        <v>23</v>
      </c>
      <c r="AS250" s="7"/>
      <c r="AT250" s="7"/>
      <c r="AU250" s="7"/>
      <c r="AV250" s="7" t="s">
        <v>24</v>
      </c>
      <c r="AW250" s="7"/>
      <c r="AX250" s="7"/>
      <c r="AY250" s="7"/>
      <c r="AZ250" s="7" t="s">
        <v>22</v>
      </c>
      <c r="BA250" s="7"/>
      <c r="BB250" s="7"/>
      <c r="BC250" s="7"/>
      <c r="BD250" s="7" t="s">
        <v>23</v>
      </c>
      <c r="BE250" s="7"/>
      <c r="BF250" s="7"/>
      <c r="BG250" s="7"/>
      <c r="BH250" s="7" t="s">
        <v>24</v>
      </c>
      <c r="BI250" s="7"/>
      <c r="BJ250" s="7"/>
      <c r="BK250" s="7"/>
      <c r="BL250" s="7" t="s">
        <v>26</v>
      </c>
      <c r="BM250" s="7"/>
      <c r="BN250" s="7"/>
      <c r="BO250" s="7"/>
      <c r="BP250" s="7" t="s">
        <v>27</v>
      </c>
      <c r="BQ250" s="7"/>
      <c r="BR250" s="7"/>
      <c r="BS250" s="7" t="s">
        <v>28</v>
      </c>
      <c r="BT250" s="7"/>
      <c r="BU250" s="7"/>
    </row>
    <row r="251" customFormat="false" ht="27" hidden="false" customHeight="true" outlineLevel="0" collapsed="false">
      <c r="A251" s="7"/>
      <c r="B251" s="8"/>
      <c r="C251" s="8"/>
      <c r="D251" s="9"/>
      <c r="E251" s="9"/>
      <c r="F251" s="9"/>
      <c r="G251" s="9"/>
      <c r="H251" s="7" t="s">
        <v>29</v>
      </c>
      <c r="I251" s="7" t="s">
        <v>30</v>
      </c>
      <c r="J251" s="7" t="s">
        <v>29</v>
      </c>
      <c r="K251" s="7" t="s">
        <v>30</v>
      </c>
      <c r="L251" s="7" t="s">
        <v>29</v>
      </c>
      <c r="M251" s="7" t="s">
        <v>30</v>
      </c>
      <c r="N251" s="12"/>
      <c r="O251" s="8"/>
      <c r="P251" s="11" t="s">
        <v>29</v>
      </c>
      <c r="Q251" s="11"/>
      <c r="R251" s="10" t="s">
        <v>30</v>
      </c>
      <c r="S251" s="10"/>
      <c r="T251" s="10" t="s">
        <v>29</v>
      </c>
      <c r="U251" s="10"/>
      <c r="V251" s="10" t="s">
        <v>30</v>
      </c>
      <c r="W251" s="10"/>
      <c r="X251" s="10" t="s">
        <v>29</v>
      </c>
      <c r="Y251" s="10"/>
      <c r="Z251" s="10" t="s">
        <v>30</v>
      </c>
      <c r="AA251" s="10"/>
      <c r="AB251" s="10" t="s">
        <v>29</v>
      </c>
      <c r="AC251" s="10"/>
      <c r="AD251" s="10" t="s">
        <v>30</v>
      </c>
      <c r="AE251" s="10"/>
      <c r="AF251" s="10" t="s">
        <v>29</v>
      </c>
      <c r="AG251" s="10"/>
      <c r="AH251" s="10" t="s">
        <v>30</v>
      </c>
      <c r="AI251" s="10"/>
      <c r="AJ251" s="10" t="s">
        <v>29</v>
      </c>
      <c r="AK251" s="10"/>
      <c r="AL251" s="10" t="s">
        <v>30</v>
      </c>
      <c r="AM251" s="10"/>
      <c r="AN251" s="13" t="s">
        <v>29</v>
      </c>
      <c r="AO251" s="13"/>
      <c r="AP251" s="13" t="s">
        <v>30</v>
      </c>
      <c r="AQ251" s="13"/>
      <c r="AR251" s="13" t="s">
        <v>29</v>
      </c>
      <c r="AS251" s="13"/>
      <c r="AT251" s="13" t="s">
        <v>30</v>
      </c>
      <c r="AU251" s="13"/>
      <c r="AV251" s="13" t="s">
        <v>29</v>
      </c>
      <c r="AW251" s="13"/>
      <c r="AX251" s="13" t="s">
        <v>30</v>
      </c>
      <c r="AY251" s="13"/>
      <c r="AZ251" s="14" t="s">
        <v>29</v>
      </c>
      <c r="BA251" s="14"/>
      <c r="BB251" s="14" t="s">
        <v>30</v>
      </c>
      <c r="BC251" s="14"/>
      <c r="BD251" s="14" t="s">
        <v>29</v>
      </c>
      <c r="BE251" s="14"/>
      <c r="BF251" s="14" t="s">
        <v>30</v>
      </c>
      <c r="BG251" s="14"/>
      <c r="BH251" s="14" t="s">
        <v>29</v>
      </c>
      <c r="BI251" s="14"/>
      <c r="BJ251" s="14" t="s">
        <v>30</v>
      </c>
      <c r="BK251" s="14"/>
      <c r="BL251" s="15" t="s">
        <v>29</v>
      </c>
      <c r="BM251" s="15" t="s">
        <v>30</v>
      </c>
      <c r="BN251" s="15" t="s">
        <v>31</v>
      </c>
      <c r="BO251" s="15" t="s">
        <v>32</v>
      </c>
      <c r="BP251" s="7" t="s">
        <v>33</v>
      </c>
      <c r="BQ251" s="7" t="s">
        <v>34</v>
      </c>
      <c r="BR251" s="7" t="s">
        <v>35</v>
      </c>
      <c r="BS251" s="7" t="s">
        <v>33</v>
      </c>
      <c r="BT251" s="7" t="s">
        <v>34</v>
      </c>
      <c r="BU251" s="7" t="s">
        <v>35</v>
      </c>
    </row>
    <row r="252" customFormat="false" ht="85.5" hidden="false" customHeight="true" outlineLevel="0" collapsed="false">
      <c r="A252" s="7"/>
      <c r="B252" s="8"/>
      <c r="C252" s="8"/>
      <c r="D252" s="9"/>
      <c r="E252" s="9"/>
      <c r="F252" s="9"/>
      <c r="G252" s="9"/>
      <c r="H252" s="7"/>
      <c r="I252" s="7"/>
      <c r="J252" s="7"/>
      <c r="K252" s="7"/>
      <c r="L252" s="7"/>
      <c r="M252" s="7"/>
      <c r="N252" s="12"/>
      <c r="O252" s="8"/>
      <c r="P252" s="16" t="s">
        <v>36</v>
      </c>
      <c r="Q252" s="17" t="s">
        <v>37</v>
      </c>
      <c r="R252" s="17" t="s">
        <v>36</v>
      </c>
      <c r="S252" s="17" t="s">
        <v>37</v>
      </c>
      <c r="T252" s="17" t="s">
        <v>36</v>
      </c>
      <c r="U252" s="17" t="s">
        <v>37</v>
      </c>
      <c r="V252" s="17" t="s">
        <v>36</v>
      </c>
      <c r="W252" s="17" t="s">
        <v>37</v>
      </c>
      <c r="X252" s="17" t="s">
        <v>36</v>
      </c>
      <c r="Y252" s="17" t="s">
        <v>37</v>
      </c>
      <c r="Z252" s="17" t="s">
        <v>36</v>
      </c>
      <c r="AA252" s="17" t="s">
        <v>37</v>
      </c>
      <c r="AB252" s="17" t="s">
        <v>36</v>
      </c>
      <c r="AC252" s="17" t="s">
        <v>37</v>
      </c>
      <c r="AD252" s="17" t="s">
        <v>36</v>
      </c>
      <c r="AE252" s="17" t="s">
        <v>37</v>
      </c>
      <c r="AF252" s="17" t="s">
        <v>36</v>
      </c>
      <c r="AG252" s="17" t="s">
        <v>37</v>
      </c>
      <c r="AH252" s="17" t="s">
        <v>36</v>
      </c>
      <c r="AI252" s="17" t="s">
        <v>37</v>
      </c>
      <c r="AJ252" s="17" t="s">
        <v>36</v>
      </c>
      <c r="AK252" s="17" t="s">
        <v>37</v>
      </c>
      <c r="AL252" s="17" t="s">
        <v>36</v>
      </c>
      <c r="AM252" s="17" t="s">
        <v>37</v>
      </c>
      <c r="AN252" s="18" t="s">
        <v>38</v>
      </c>
      <c r="AO252" s="18" t="s">
        <v>39</v>
      </c>
      <c r="AP252" s="18" t="s">
        <v>38</v>
      </c>
      <c r="AQ252" s="18" t="s">
        <v>39</v>
      </c>
      <c r="AR252" s="18" t="s">
        <v>38</v>
      </c>
      <c r="AS252" s="18" t="s">
        <v>39</v>
      </c>
      <c r="AT252" s="18" t="s">
        <v>38</v>
      </c>
      <c r="AU252" s="18" t="s">
        <v>39</v>
      </c>
      <c r="AV252" s="18" t="s">
        <v>38</v>
      </c>
      <c r="AW252" s="18" t="s">
        <v>39</v>
      </c>
      <c r="AX252" s="18" t="s">
        <v>38</v>
      </c>
      <c r="AY252" s="18" t="s">
        <v>39</v>
      </c>
      <c r="AZ252" s="19" t="s">
        <v>40</v>
      </c>
      <c r="BA252" s="20" t="s">
        <v>41</v>
      </c>
      <c r="BB252" s="19" t="s">
        <v>40</v>
      </c>
      <c r="BC252" s="20" t="s">
        <v>41</v>
      </c>
      <c r="BD252" s="19" t="s">
        <v>40</v>
      </c>
      <c r="BE252" s="20" t="s">
        <v>41</v>
      </c>
      <c r="BF252" s="19" t="s">
        <v>40</v>
      </c>
      <c r="BG252" s="20" t="s">
        <v>41</v>
      </c>
      <c r="BH252" s="19" t="s">
        <v>40</v>
      </c>
      <c r="BI252" s="20" t="s">
        <v>41</v>
      </c>
      <c r="BJ252" s="19" t="s">
        <v>40</v>
      </c>
      <c r="BK252" s="20" t="s">
        <v>41</v>
      </c>
      <c r="BL252" s="21" t="s">
        <v>41</v>
      </c>
      <c r="BM252" s="21" t="s">
        <v>41</v>
      </c>
      <c r="BN252" s="15"/>
      <c r="BO252" s="15"/>
      <c r="BP252" s="7"/>
      <c r="BQ252" s="7"/>
      <c r="BR252" s="7"/>
      <c r="BS252" s="7"/>
      <c r="BT252" s="7"/>
      <c r="BU252" s="7"/>
    </row>
    <row r="253" customFormat="false" ht="13.5" hidden="false" customHeight="true" outlineLevel="0" collapsed="false">
      <c r="A253" s="22" t="n">
        <v>1</v>
      </c>
      <c r="B253" s="23" t="n">
        <v>2</v>
      </c>
      <c r="C253" s="23" t="n">
        <f aca="false">+B253+1</f>
        <v>3</v>
      </c>
      <c r="D253" s="23" t="n">
        <v>4</v>
      </c>
      <c r="E253" s="23" t="n">
        <v>5</v>
      </c>
      <c r="F253" s="23" t="n">
        <v>6</v>
      </c>
      <c r="G253" s="23" t="n">
        <v>7</v>
      </c>
      <c r="H253" s="24" t="n">
        <v>8</v>
      </c>
      <c r="I253" s="24"/>
      <c r="J253" s="24"/>
      <c r="K253" s="24"/>
      <c r="L253" s="24"/>
      <c r="M253" s="24"/>
      <c r="N253" s="25" t="n">
        <v>9</v>
      </c>
      <c r="O253" s="24" t="n">
        <v>10</v>
      </c>
      <c r="P253" s="24" t="n">
        <v>11</v>
      </c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3" t="n">
        <v>12</v>
      </c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13" t="n">
        <v>13</v>
      </c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4" t="n">
        <v>14</v>
      </c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5" t="n">
        <v>15</v>
      </c>
      <c r="BM253" s="15"/>
      <c r="BN253" s="15"/>
      <c r="BO253" s="15"/>
      <c r="BP253" s="24" t="n">
        <v>16</v>
      </c>
      <c r="BQ253" s="24"/>
      <c r="BR253" s="24"/>
      <c r="BS253" s="24" t="n">
        <v>17</v>
      </c>
      <c r="BT253" s="24"/>
      <c r="BU253" s="24"/>
    </row>
    <row r="254" customFormat="false" ht="32.25" hidden="false" customHeight="true" outlineLevel="0" collapsed="false">
      <c r="A254" s="27" t="n">
        <v>1</v>
      </c>
      <c r="B254" s="28" t="s">
        <v>42</v>
      </c>
      <c r="C254" s="10" t="n">
        <v>3</v>
      </c>
      <c r="D254" s="10" t="n">
        <v>0</v>
      </c>
      <c r="E254" s="10" t="n">
        <v>3</v>
      </c>
      <c r="F254" s="10" t="n">
        <v>0</v>
      </c>
      <c r="G254" s="10" t="n">
        <v>0</v>
      </c>
      <c r="H254" s="29" t="n">
        <v>200</v>
      </c>
      <c r="I254" s="29" t="n">
        <v>243</v>
      </c>
      <c r="J254" s="30" t="n">
        <v>180</v>
      </c>
      <c r="K254" s="30" t="n">
        <v>209</v>
      </c>
      <c r="L254" s="30" t="n">
        <v>110</v>
      </c>
      <c r="M254" s="30" t="n">
        <v>117</v>
      </c>
      <c r="N254" s="31" t="n">
        <f aca="false">SUM(J254:M254)</f>
        <v>616</v>
      </c>
      <c r="O254" s="32" t="n">
        <v>0</v>
      </c>
      <c r="P254" s="33" t="n">
        <f aca="false">P232+Q232</f>
        <v>76</v>
      </c>
      <c r="Q254" s="33"/>
      <c r="R254" s="33" t="n">
        <f aca="false">R232+S232</f>
        <v>169</v>
      </c>
      <c r="S254" s="33"/>
      <c r="T254" s="33" t="n">
        <f aca="false">T232+U232</f>
        <v>67</v>
      </c>
      <c r="U254" s="34"/>
      <c r="V254" s="33" t="n">
        <f aca="false">V232+W232</f>
        <v>102</v>
      </c>
      <c r="W254" s="34"/>
      <c r="X254" s="33" t="n">
        <f aca="false">X232+Y232</f>
        <v>101</v>
      </c>
      <c r="Y254" s="34"/>
      <c r="Z254" s="33" t="n">
        <f aca="false">Z232+AA232</f>
        <v>80</v>
      </c>
      <c r="AA254" s="34"/>
      <c r="AB254" s="33" t="n">
        <f aca="false">AB232+AC232</f>
        <v>47</v>
      </c>
      <c r="AC254" s="33"/>
      <c r="AD254" s="33" t="n">
        <f aca="false">AD232+AE232</f>
        <v>81</v>
      </c>
      <c r="AE254" s="33"/>
      <c r="AF254" s="33" t="n">
        <f aca="false">AF232+AG232</f>
        <v>67</v>
      </c>
      <c r="AG254" s="34"/>
      <c r="AH254" s="33" t="n">
        <f aca="false">AH232+AI232</f>
        <v>76</v>
      </c>
      <c r="AI254" s="34"/>
      <c r="AJ254" s="33" t="n">
        <f aca="false">AJ232+AK232</f>
        <v>26</v>
      </c>
      <c r="AK254" s="34"/>
      <c r="AL254" s="33" t="n">
        <f aca="false">AL232+AM232</f>
        <v>34</v>
      </c>
      <c r="AM254" s="34"/>
      <c r="AN254" s="35" t="n">
        <f aca="false">P254+AB254</f>
        <v>123</v>
      </c>
      <c r="AO254" s="35" t="n">
        <f aca="false">Q254+AC254</f>
        <v>0</v>
      </c>
      <c r="AP254" s="35" t="n">
        <f aca="false">R254+AD254</f>
        <v>250</v>
      </c>
      <c r="AQ254" s="35" t="n">
        <f aca="false">S254+AE254</f>
        <v>0</v>
      </c>
      <c r="AR254" s="35" t="n">
        <f aca="false">T254+AF254</f>
        <v>134</v>
      </c>
      <c r="AS254" s="35" t="n">
        <f aca="false">U254+AG254</f>
        <v>0</v>
      </c>
      <c r="AT254" s="35" t="n">
        <f aca="false">V254+AH254</f>
        <v>178</v>
      </c>
      <c r="AU254" s="35" t="n">
        <f aca="false">W254+AI254</f>
        <v>0</v>
      </c>
      <c r="AV254" s="35" t="n">
        <f aca="false">X254+AJ254</f>
        <v>127</v>
      </c>
      <c r="AW254" s="35" t="n">
        <f aca="false">Y254+AK254</f>
        <v>0</v>
      </c>
      <c r="AX254" s="35" t="n">
        <f aca="false">Z254+AL254</f>
        <v>114</v>
      </c>
      <c r="AY254" s="35" t="n">
        <f aca="false">AA254+AM254</f>
        <v>0</v>
      </c>
      <c r="AZ254" s="36" t="n">
        <f aca="false">AO254</f>
        <v>0</v>
      </c>
      <c r="BA254" s="36" t="n">
        <f aca="false">SUM(AN254:AO254)</f>
        <v>123</v>
      </c>
      <c r="BB254" s="36" t="n">
        <f aca="false">S254+AE254</f>
        <v>0</v>
      </c>
      <c r="BC254" s="36" t="n">
        <f aca="false">SUM(AP254:AQ254)</f>
        <v>250</v>
      </c>
      <c r="BD254" s="36" t="n">
        <f aca="false">U254+AG254</f>
        <v>0</v>
      </c>
      <c r="BE254" s="36" t="n">
        <f aca="false">SUM(AR254:AS254)</f>
        <v>134</v>
      </c>
      <c r="BF254" s="36" t="n">
        <f aca="false">W254+AI254</f>
        <v>0</v>
      </c>
      <c r="BG254" s="36" t="n">
        <f aca="false">SUM(AT254:AU254)</f>
        <v>178</v>
      </c>
      <c r="BH254" s="36" t="n">
        <f aca="false">Y254+AK254</f>
        <v>0</v>
      </c>
      <c r="BI254" s="36" t="n">
        <f aca="false">SUM(AV254:AW254)</f>
        <v>127</v>
      </c>
      <c r="BJ254" s="36" t="n">
        <f aca="false">AA254+AM254</f>
        <v>0</v>
      </c>
      <c r="BK254" s="36" t="n">
        <f aca="false">SUM(AX254:AY254)</f>
        <v>114</v>
      </c>
      <c r="BL254" s="37" t="n">
        <f aca="false">BE254+BI254</f>
        <v>261</v>
      </c>
      <c r="BM254" s="37" t="n">
        <f aca="false">BG254+BK254</f>
        <v>292</v>
      </c>
      <c r="BN254" s="38" t="n">
        <f aca="false">BL254+BM254</f>
        <v>553</v>
      </c>
      <c r="BO254" s="39" t="n">
        <f aca="false">BN254/N254*100</f>
        <v>89.7727272727273</v>
      </c>
      <c r="BP254" s="10" t="n">
        <v>32</v>
      </c>
      <c r="BQ254" s="10" t="n">
        <v>0</v>
      </c>
      <c r="BR254" s="10" t="n">
        <v>0</v>
      </c>
      <c r="BS254" s="10" t="n">
        <v>21</v>
      </c>
      <c r="BT254" s="10" t="n">
        <v>0</v>
      </c>
      <c r="BU254" s="10" t="n">
        <v>0</v>
      </c>
    </row>
    <row r="255" customFormat="false" ht="32.25" hidden="false" customHeight="true" outlineLevel="0" collapsed="false">
      <c r="A255" s="27" t="n">
        <v>2</v>
      </c>
      <c r="B255" s="28" t="s">
        <v>43</v>
      </c>
      <c r="C255" s="10" t="n">
        <v>3</v>
      </c>
      <c r="D255" s="10" t="n">
        <v>0</v>
      </c>
      <c r="E255" s="10" t="n">
        <v>3</v>
      </c>
      <c r="F255" s="10" t="n">
        <v>0</v>
      </c>
      <c r="G255" s="10" t="n">
        <v>0</v>
      </c>
      <c r="H255" s="29" t="n">
        <v>385</v>
      </c>
      <c r="I255" s="29" t="n">
        <v>393</v>
      </c>
      <c r="J255" s="30" t="n">
        <v>165</v>
      </c>
      <c r="K255" s="30" t="n">
        <v>177</v>
      </c>
      <c r="L255" s="30" t="n">
        <v>95</v>
      </c>
      <c r="M255" s="30" t="n">
        <v>104</v>
      </c>
      <c r="N255" s="31" t="n">
        <f aca="false">SUM(J255:M255)</f>
        <v>541</v>
      </c>
      <c r="O255" s="32" t="n">
        <v>0</v>
      </c>
      <c r="P255" s="33" t="n">
        <f aca="false">P233+Q233</f>
        <v>70</v>
      </c>
      <c r="Q255" s="33"/>
      <c r="R255" s="33" t="n">
        <f aca="false">R233+S233</f>
        <v>154</v>
      </c>
      <c r="S255" s="33"/>
      <c r="T255" s="33" t="n">
        <f aca="false">T233+U233</f>
        <v>84</v>
      </c>
      <c r="U255" s="34"/>
      <c r="V255" s="33" t="n">
        <f aca="false">V233+W233</f>
        <v>90</v>
      </c>
      <c r="W255" s="34"/>
      <c r="X255" s="33" t="n">
        <f aca="false">X233+Y233</f>
        <v>49</v>
      </c>
      <c r="Y255" s="34"/>
      <c r="Z255" s="33" t="n">
        <f aca="false">Z233+AA233</f>
        <v>62</v>
      </c>
      <c r="AA255" s="34"/>
      <c r="AB255" s="33" t="n">
        <f aca="false">AB233+AC233</f>
        <v>31</v>
      </c>
      <c r="AC255" s="33"/>
      <c r="AD255" s="33" t="n">
        <f aca="false">AD233+AE233</f>
        <v>47</v>
      </c>
      <c r="AE255" s="33"/>
      <c r="AF255" s="33" t="n">
        <f aca="false">AF233+AG233</f>
        <v>36</v>
      </c>
      <c r="AG255" s="34"/>
      <c r="AH255" s="33" t="n">
        <f aca="false">AH233+AI233</f>
        <v>41</v>
      </c>
      <c r="AI255" s="34"/>
      <c r="AJ255" s="33" t="n">
        <f aca="false">AJ233+AK233</f>
        <v>28</v>
      </c>
      <c r="AK255" s="34"/>
      <c r="AL255" s="33" t="n">
        <f aca="false">AL233+AM233</f>
        <v>32</v>
      </c>
      <c r="AM255" s="34"/>
      <c r="AN255" s="35" t="n">
        <f aca="false">P255+AB255</f>
        <v>101</v>
      </c>
      <c r="AO255" s="35" t="n">
        <f aca="false">Q255+AC255</f>
        <v>0</v>
      </c>
      <c r="AP255" s="35" t="n">
        <f aca="false">R255+AD255</f>
        <v>201</v>
      </c>
      <c r="AQ255" s="35" t="n">
        <f aca="false">S255+AE255</f>
        <v>0</v>
      </c>
      <c r="AR255" s="35" t="n">
        <f aca="false">T255+AF255</f>
        <v>120</v>
      </c>
      <c r="AS255" s="35" t="n">
        <f aca="false">U255+AG255</f>
        <v>0</v>
      </c>
      <c r="AT255" s="35" t="n">
        <f aca="false">V255+AH255</f>
        <v>131</v>
      </c>
      <c r="AU255" s="35" t="n">
        <f aca="false">W255+AI255</f>
        <v>0</v>
      </c>
      <c r="AV255" s="35" t="n">
        <f aca="false">X255+AJ255</f>
        <v>77</v>
      </c>
      <c r="AW255" s="35" t="n">
        <f aca="false">Y255+AK255</f>
        <v>0</v>
      </c>
      <c r="AX255" s="35" t="n">
        <f aca="false">Z255+AL255</f>
        <v>94</v>
      </c>
      <c r="AY255" s="35" t="n">
        <f aca="false">AA255+AM255</f>
        <v>0</v>
      </c>
      <c r="AZ255" s="36" t="n">
        <f aca="false">AO255</f>
        <v>0</v>
      </c>
      <c r="BA255" s="36" t="n">
        <f aca="false">SUM(AN255:AO255)</f>
        <v>101</v>
      </c>
      <c r="BB255" s="36" t="n">
        <f aca="false">S255+AE255</f>
        <v>0</v>
      </c>
      <c r="BC255" s="36" t="n">
        <f aca="false">SUM(AP255:AQ255)</f>
        <v>201</v>
      </c>
      <c r="BD255" s="36" t="n">
        <f aca="false">U255+AG255</f>
        <v>0</v>
      </c>
      <c r="BE255" s="36" t="n">
        <f aca="false">SUM(AR255:AS255)</f>
        <v>120</v>
      </c>
      <c r="BF255" s="36" t="n">
        <f aca="false">W255+AI255</f>
        <v>0</v>
      </c>
      <c r="BG255" s="36" t="n">
        <f aca="false">SUM(AT255:AU255)</f>
        <v>131</v>
      </c>
      <c r="BH255" s="36" t="n">
        <f aca="false">Y255+AK255</f>
        <v>0</v>
      </c>
      <c r="BI255" s="36" t="n">
        <f aca="false">SUM(AV255:AW255)</f>
        <v>77</v>
      </c>
      <c r="BJ255" s="36" t="n">
        <f aca="false">AA255+AM255</f>
        <v>0</v>
      </c>
      <c r="BK255" s="36" t="n">
        <f aca="false">SUM(AX255:AY255)</f>
        <v>94</v>
      </c>
      <c r="BL255" s="37" t="n">
        <f aca="false">BE255+BI255</f>
        <v>197</v>
      </c>
      <c r="BM255" s="37" t="n">
        <f aca="false">BG255+BK255</f>
        <v>225</v>
      </c>
      <c r="BN255" s="38" t="n">
        <f aca="false">BL255+BM255</f>
        <v>422</v>
      </c>
      <c r="BO255" s="39" t="n">
        <f aca="false">BN255/N255*100</f>
        <v>78.003696857671</v>
      </c>
      <c r="BP255" s="10" t="n">
        <v>30</v>
      </c>
      <c r="BQ255" s="10" t="n">
        <v>0</v>
      </c>
      <c r="BR255" s="10" t="n">
        <v>0</v>
      </c>
      <c r="BS255" s="10" t="n">
        <v>21</v>
      </c>
      <c r="BT255" s="10" t="n">
        <v>0</v>
      </c>
      <c r="BU255" s="10" t="n">
        <v>0</v>
      </c>
    </row>
    <row r="256" customFormat="false" ht="32.25" hidden="false" customHeight="true" outlineLevel="0" collapsed="false">
      <c r="A256" s="27" t="n">
        <v>3</v>
      </c>
      <c r="B256" s="28" t="s">
        <v>44</v>
      </c>
      <c r="C256" s="10" t="n">
        <v>2</v>
      </c>
      <c r="D256" s="10" t="n">
        <v>0</v>
      </c>
      <c r="E256" s="10" t="n">
        <v>2</v>
      </c>
      <c r="F256" s="10" t="n">
        <v>0</v>
      </c>
      <c r="G256" s="10" t="n">
        <v>0</v>
      </c>
      <c r="H256" s="29" t="n">
        <v>178</v>
      </c>
      <c r="I256" s="29" t="n">
        <v>178</v>
      </c>
      <c r="J256" s="30" t="n">
        <v>70</v>
      </c>
      <c r="K256" s="30" t="n">
        <v>87</v>
      </c>
      <c r="L256" s="30" t="n">
        <v>45</v>
      </c>
      <c r="M256" s="30" t="n">
        <v>46</v>
      </c>
      <c r="N256" s="31" t="n">
        <f aca="false">SUM(J256:M256)</f>
        <v>248</v>
      </c>
      <c r="O256" s="32" t="n">
        <v>0</v>
      </c>
      <c r="P256" s="33" t="n">
        <f aca="false">P234+Q234</f>
        <v>33</v>
      </c>
      <c r="Q256" s="33"/>
      <c r="R256" s="33" t="n">
        <f aca="false">R234+S234</f>
        <v>64</v>
      </c>
      <c r="S256" s="33"/>
      <c r="T256" s="33" t="n">
        <f aca="false">T234+U234</f>
        <v>31</v>
      </c>
      <c r="U256" s="34"/>
      <c r="V256" s="33" t="n">
        <f aca="false">V234+W234</f>
        <v>32</v>
      </c>
      <c r="W256" s="34"/>
      <c r="X256" s="33" t="n">
        <f aca="false">X234+Y234</f>
        <v>15</v>
      </c>
      <c r="Y256" s="34"/>
      <c r="Z256" s="33" t="n">
        <f aca="false">Z234+AA234</f>
        <v>21</v>
      </c>
      <c r="AA256" s="34"/>
      <c r="AB256" s="33" t="n">
        <f aca="false">AB234+AC234</f>
        <v>18</v>
      </c>
      <c r="AC256" s="33"/>
      <c r="AD256" s="33" t="n">
        <f aca="false">AD234+AE234</f>
        <v>22</v>
      </c>
      <c r="AE256" s="33"/>
      <c r="AF256" s="33" t="n">
        <f aca="false">AF234+AG234</f>
        <v>13</v>
      </c>
      <c r="AG256" s="34"/>
      <c r="AH256" s="33" t="n">
        <f aca="false">AH234+AI234</f>
        <v>27</v>
      </c>
      <c r="AI256" s="34"/>
      <c r="AJ256" s="33" t="n">
        <f aca="false">AJ234+AK234</f>
        <v>8</v>
      </c>
      <c r="AK256" s="34"/>
      <c r="AL256" s="33" t="n">
        <f aca="false">AL234+AM234</f>
        <v>14</v>
      </c>
      <c r="AM256" s="34"/>
      <c r="AN256" s="35" t="n">
        <f aca="false">P256+AB256</f>
        <v>51</v>
      </c>
      <c r="AO256" s="35" t="n">
        <f aca="false">Q256+AC256</f>
        <v>0</v>
      </c>
      <c r="AP256" s="35" t="n">
        <f aca="false">R256+AD256</f>
        <v>86</v>
      </c>
      <c r="AQ256" s="35" t="n">
        <f aca="false">S256+AE256</f>
        <v>0</v>
      </c>
      <c r="AR256" s="35" t="n">
        <f aca="false">T256+AF256</f>
        <v>44</v>
      </c>
      <c r="AS256" s="35" t="n">
        <f aca="false">U256+AG256</f>
        <v>0</v>
      </c>
      <c r="AT256" s="35" t="n">
        <f aca="false">V256+AH256</f>
        <v>59</v>
      </c>
      <c r="AU256" s="35" t="n">
        <f aca="false">W256+AI256</f>
        <v>0</v>
      </c>
      <c r="AV256" s="35" t="n">
        <f aca="false">X256+AJ256</f>
        <v>23</v>
      </c>
      <c r="AW256" s="35" t="n">
        <f aca="false">Y256+AK256</f>
        <v>0</v>
      </c>
      <c r="AX256" s="35" t="n">
        <f aca="false">Z256+AL256</f>
        <v>35</v>
      </c>
      <c r="AY256" s="35" t="n">
        <f aca="false">AA256+AM256</f>
        <v>0</v>
      </c>
      <c r="AZ256" s="36" t="n">
        <f aca="false">AO256</f>
        <v>0</v>
      </c>
      <c r="BA256" s="36" t="n">
        <f aca="false">SUM(AN256:AO256)</f>
        <v>51</v>
      </c>
      <c r="BB256" s="36" t="n">
        <f aca="false">S256+AE256</f>
        <v>0</v>
      </c>
      <c r="BC256" s="36" t="n">
        <f aca="false">SUM(AP256:AQ256)</f>
        <v>86</v>
      </c>
      <c r="BD256" s="36" t="n">
        <f aca="false">U256+AG256</f>
        <v>0</v>
      </c>
      <c r="BE256" s="36" t="n">
        <f aca="false">SUM(AR256:AS256)</f>
        <v>44</v>
      </c>
      <c r="BF256" s="36" t="n">
        <f aca="false">W256+AI256</f>
        <v>0</v>
      </c>
      <c r="BG256" s="36" t="n">
        <f aca="false">SUM(AT256:AU256)</f>
        <v>59</v>
      </c>
      <c r="BH256" s="36" t="n">
        <f aca="false">Y256+AK256</f>
        <v>0</v>
      </c>
      <c r="BI256" s="36" t="n">
        <f aca="false">SUM(AV256:AW256)</f>
        <v>23</v>
      </c>
      <c r="BJ256" s="36" t="n">
        <f aca="false">AA256+AM256</f>
        <v>0</v>
      </c>
      <c r="BK256" s="36" t="n">
        <f aca="false">SUM(AX256:AY256)</f>
        <v>35</v>
      </c>
      <c r="BL256" s="37" t="n">
        <f aca="false">BE256+BI256</f>
        <v>67</v>
      </c>
      <c r="BM256" s="37" t="n">
        <f aca="false">BG256+BK256</f>
        <v>94</v>
      </c>
      <c r="BN256" s="38" t="n">
        <f aca="false">BL256+BM256</f>
        <v>161</v>
      </c>
      <c r="BO256" s="39" t="n">
        <f aca="false">BN256/N256*100</f>
        <v>64.9193548387097</v>
      </c>
      <c r="BP256" s="10" t="n">
        <v>1</v>
      </c>
      <c r="BQ256" s="10" t="n">
        <v>0</v>
      </c>
      <c r="BR256" s="10" t="n">
        <v>0</v>
      </c>
      <c r="BS256" s="10" t="n">
        <v>0</v>
      </c>
      <c r="BT256" s="10" t="n">
        <v>0</v>
      </c>
      <c r="BU256" s="10" t="n">
        <v>0</v>
      </c>
    </row>
    <row r="257" customFormat="false" ht="32.25" hidden="false" customHeight="true" outlineLevel="0" collapsed="false">
      <c r="A257" s="27" t="n">
        <v>4</v>
      </c>
      <c r="B257" s="28" t="s">
        <v>45</v>
      </c>
      <c r="C257" s="10" t="n">
        <v>2</v>
      </c>
      <c r="D257" s="10" t="n">
        <v>0</v>
      </c>
      <c r="E257" s="10" t="n">
        <v>2</v>
      </c>
      <c r="F257" s="10" t="n">
        <v>0</v>
      </c>
      <c r="G257" s="10" t="n">
        <v>0</v>
      </c>
      <c r="H257" s="29" t="n">
        <v>245</v>
      </c>
      <c r="I257" s="29" t="n">
        <v>248</v>
      </c>
      <c r="J257" s="30" t="n">
        <v>100</v>
      </c>
      <c r="K257" s="30" t="n">
        <v>117</v>
      </c>
      <c r="L257" s="30" t="n">
        <v>60</v>
      </c>
      <c r="M257" s="30" t="n">
        <v>66</v>
      </c>
      <c r="N257" s="31" t="n">
        <f aca="false">SUM(J257:M257)</f>
        <v>343</v>
      </c>
      <c r="O257" s="32" t="n">
        <v>0</v>
      </c>
      <c r="P257" s="33" t="n">
        <f aca="false">P235+Q235</f>
        <v>39</v>
      </c>
      <c r="Q257" s="42"/>
      <c r="R257" s="33" t="n">
        <f aca="false">R235+S235</f>
        <v>72</v>
      </c>
      <c r="S257" s="33"/>
      <c r="T257" s="33" t="n">
        <f aca="false">T235+U235</f>
        <v>26</v>
      </c>
      <c r="U257" s="34"/>
      <c r="V257" s="33" t="n">
        <f aca="false">V235+W235</f>
        <v>63</v>
      </c>
      <c r="W257" s="34"/>
      <c r="X257" s="33" t="n">
        <f aca="false">X235+Y235</f>
        <v>25</v>
      </c>
      <c r="Y257" s="34"/>
      <c r="Z257" s="33" t="n">
        <f aca="false">Z235+AA235</f>
        <v>30</v>
      </c>
      <c r="AA257" s="34"/>
      <c r="AB257" s="33" t="n">
        <f aca="false">AB235+AC235</f>
        <v>57</v>
      </c>
      <c r="AC257" s="43"/>
      <c r="AD257" s="33" t="n">
        <f aca="false">AD235+AE235</f>
        <v>58</v>
      </c>
      <c r="AE257" s="33"/>
      <c r="AF257" s="33" t="n">
        <f aca="false">AF235+AG235</f>
        <v>40</v>
      </c>
      <c r="AG257" s="34"/>
      <c r="AH257" s="33" t="n">
        <f aca="false">AH235+AI235</f>
        <v>51</v>
      </c>
      <c r="AI257" s="34"/>
      <c r="AJ257" s="33" t="n">
        <f aca="false">AJ235+AK235</f>
        <v>39</v>
      </c>
      <c r="AK257" s="34"/>
      <c r="AL257" s="33" t="n">
        <f aca="false">AL235+AM235</f>
        <v>45</v>
      </c>
      <c r="AM257" s="34"/>
      <c r="AN257" s="35" t="n">
        <f aca="false">P257+AB257</f>
        <v>96</v>
      </c>
      <c r="AO257" s="35" t="n">
        <f aca="false">Q257+AC257</f>
        <v>0</v>
      </c>
      <c r="AP257" s="35" t="n">
        <f aca="false">R257+AD257</f>
        <v>130</v>
      </c>
      <c r="AQ257" s="35" t="n">
        <f aca="false">S257+AE257</f>
        <v>0</v>
      </c>
      <c r="AR257" s="35" t="n">
        <f aca="false">T257+AF257</f>
        <v>66</v>
      </c>
      <c r="AS257" s="35" t="n">
        <f aca="false">U257+AG257</f>
        <v>0</v>
      </c>
      <c r="AT257" s="35" t="n">
        <f aca="false">V257+AH257</f>
        <v>114</v>
      </c>
      <c r="AU257" s="35" t="n">
        <f aca="false">W257+AI257</f>
        <v>0</v>
      </c>
      <c r="AV257" s="35" t="n">
        <f aca="false">X257+AJ257</f>
        <v>64</v>
      </c>
      <c r="AW257" s="35" t="n">
        <f aca="false">Y257+AK257</f>
        <v>0</v>
      </c>
      <c r="AX257" s="35" t="n">
        <f aca="false">Z257+AL257</f>
        <v>75</v>
      </c>
      <c r="AY257" s="35" t="n">
        <f aca="false">AA257+AM257</f>
        <v>0</v>
      </c>
      <c r="AZ257" s="36" t="n">
        <f aca="false">AO257</f>
        <v>0</v>
      </c>
      <c r="BA257" s="36" t="n">
        <f aca="false">SUM(AN257:AO257)</f>
        <v>96</v>
      </c>
      <c r="BB257" s="36" t="n">
        <f aca="false">S257+AE257</f>
        <v>0</v>
      </c>
      <c r="BC257" s="36" t="n">
        <f aca="false">SUM(AP257:AQ257)</f>
        <v>130</v>
      </c>
      <c r="BD257" s="36" t="n">
        <f aca="false">U257+AG257</f>
        <v>0</v>
      </c>
      <c r="BE257" s="36" t="n">
        <f aca="false">SUM(AR257:AS257)</f>
        <v>66</v>
      </c>
      <c r="BF257" s="36" t="n">
        <f aca="false">W257+AI257</f>
        <v>0</v>
      </c>
      <c r="BG257" s="36" t="n">
        <f aca="false">SUM(AT257:AU257)</f>
        <v>114</v>
      </c>
      <c r="BH257" s="36" t="n">
        <f aca="false">Y257+AK257</f>
        <v>0</v>
      </c>
      <c r="BI257" s="36" t="n">
        <f aca="false">SUM(AV257:AW257)</f>
        <v>64</v>
      </c>
      <c r="BJ257" s="36" t="n">
        <f aca="false">AA257+AM257</f>
        <v>0</v>
      </c>
      <c r="BK257" s="36" t="n">
        <f aca="false">SUM(AX257:AY257)</f>
        <v>75</v>
      </c>
      <c r="BL257" s="37" t="n">
        <f aca="false">BE257+BI257</f>
        <v>130</v>
      </c>
      <c r="BM257" s="37" t="n">
        <f aca="false">BG257+BK257</f>
        <v>189</v>
      </c>
      <c r="BN257" s="38" t="n">
        <f aca="false">BL257+BM257</f>
        <v>319</v>
      </c>
      <c r="BO257" s="39" t="n">
        <f aca="false">BN257/N257*100</f>
        <v>93.002915451895</v>
      </c>
      <c r="BP257" s="10" t="n">
        <v>28</v>
      </c>
      <c r="BQ257" s="10" t="n">
        <v>0</v>
      </c>
      <c r="BR257" s="10" t="n">
        <v>0</v>
      </c>
      <c r="BS257" s="10" t="n">
        <v>17</v>
      </c>
      <c r="BT257" s="10" t="n">
        <v>0</v>
      </c>
      <c r="BU257" s="10" t="n">
        <v>0</v>
      </c>
    </row>
    <row r="258" customFormat="false" ht="32.25" hidden="false" customHeight="true" outlineLevel="0" collapsed="false">
      <c r="A258" s="27" t="n">
        <v>5</v>
      </c>
      <c r="B258" s="28" t="s">
        <v>46</v>
      </c>
      <c r="C258" s="10" t="n">
        <v>2</v>
      </c>
      <c r="D258" s="10" t="n">
        <v>0</v>
      </c>
      <c r="E258" s="10" t="n">
        <v>2</v>
      </c>
      <c r="F258" s="10" t="n">
        <v>0</v>
      </c>
      <c r="G258" s="10" t="n">
        <v>0</v>
      </c>
      <c r="H258" s="29" t="n">
        <v>238</v>
      </c>
      <c r="I258" s="29" t="n">
        <v>239</v>
      </c>
      <c r="J258" s="30" t="n">
        <v>95</v>
      </c>
      <c r="K258" s="30" t="n">
        <v>114</v>
      </c>
      <c r="L258" s="30" t="n">
        <v>55</v>
      </c>
      <c r="M258" s="30" t="n">
        <v>67</v>
      </c>
      <c r="N258" s="31" t="n">
        <f aca="false">SUM(J258:M258)</f>
        <v>331</v>
      </c>
      <c r="O258" s="32" t="n">
        <v>0</v>
      </c>
      <c r="P258" s="33" t="n">
        <f aca="false">P236+Q236</f>
        <v>47</v>
      </c>
      <c r="Q258" s="43"/>
      <c r="R258" s="33" t="n">
        <f aca="false">R236+S236</f>
        <v>83</v>
      </c>
      <c r="S258" s="33"/>
      <c r="T258" s="33" t="n">
        <f aca="false">T236+U236</f>
        <v>68</v>
      </c>
      <c r="U258" s="34"/>
      <c r="V258" s="33" t="n">
        <f aca="false">V236+W236</f>
        <v>65</v>
      </c>
      <c r="W258" s="34"/>
      <c r="X258" s="33" t="n">
        <f aca="false">X236+Y236</f>
        <v>17</v>
      </c>
      <c r="Y258" s="34"/>
      <c r="Z258" s="33" t="n">
        <f aca="false">Z236+AA236</f>
        <v>27</v>
      </c>
      <c r="AA258" s="34"/>
      <c r="AB258" s="33" t="n">
        <f aca="false">AB236+AC236</f>
        <v>12</v>
      </c>
      <c r="AC258" s="43"/>
      <c r="AD258" s="33" t="n">
        <f aca="false">AD236+AE236</f>
        <v>40</v>
      </c>
      <c r="AE258" s="33"/>
      <c r="AF258" s="33" t="n">
        <f aca="false">AF236+AG236</f>
        <v>13</v>
      </c>
      <c r="AG258" s="34"/>
      <c r="AH258" s="33" t="n">
        <f aca="false">AH236+AI236</f>
        <v>35</v>
      </c>
      <c r="AI258" s="34"/>
      <c r="AJ258" s="33" t="n">
        <f aca="false">AJ236+AK236</f>
        <v>8</v>
      </c>
      <c r="AK258" s="34"/>
      <c r="AL258" s="33" t="n">
        <f aca="false">AL236+AM236</f>
        <v>9</v>
      </c>
      <c r="AM258" s="34"/>
      <c r="AN258" s="35" t="n">
        <f aca="false">P258+AB258</f>
        <v>59</v>
      </c>
      <c r="AO258" s="35" t="n">
        <f aca="false">Q258+AC258</f>
        <v>0</v>
      </c>
      <c r="AP258" s="35" t="n">
        <f aca="false">R258+AD258</f>
        <v>123</v>
      </c>
      <c r="AQ258" s="35" t="n">
        <f aca="false">S258+AE258</f>
        <v>0</v>
      </c>
      <c r="AR258" s="35" t="n">
        <f aca="false">T258+AF258</f>
        <v>81</v>
      </c>
      <c r="AS258" s="35" t="n">
        <f aca="false">U258+AG258</f>
        <v>0</v>
      </c>
      <c r="AT258" s="35" t="n">
        <f aca="false">V258+AH258</f>
        <v>100</v>
      </c>
      <c r="AU258" s="35" t="n">
        <f aca="false">W258+AI258</f>
        <v>0</v>
      </c>
      <c r="AV258" s="35" t="n">
        <f aca="false">X258+AJ258</f>
        <v>25</v>
      </c>
      <c r="AW258" s="35" t="n">
        <f aca="false">Y258+AK258</f>
        <v>0</v>
      </c>
      <c r="AX258" s="35" t="n">
        <f aca="false">Z258+AL258</f>
        <v>36</v>
      </c>
      <c r="AY258" s="35" t="n">
        <f aca="false">AA258+AM258</f>
        <v>0</v>
      </c>
      <c r="AZ258" s="36" t="n">
        <f aca="false">AO258</f>
        <v>0</v>
      </c>
      <c r="BA258" s="36" t="n">
        <f aca="false">SUM(AN258:AO258)</f>
        <v>59</v>
      </c>
      <c r="BB258" s="36" t="n">
        <f aca="false">S258+AE258</f>
        <v>0</v>
      </c>
      <c r="BC258" s="36" t="n">
        <f aca="false">SUM(AP258:AQ258)</f>
        <v>123</v>
      </c>
      <c r="BD258" s="36" t="n">
        <f aca="false">U258+AG258</f>
        <v>0</v>
      </c>
      <c r="BE258" s="36" t="n">
        <f aca="false">SUM(AR258:AS258)</f>
        <v>81</v>
      </c>
      <c r="BF258" s="36" t="n">
        <f aca="false">W258+AI258</f>
        <v>0</v>
      </c>
      <c r="BG258" s="36" t="n">
        <f aca="false">SUM(AT258:AU258)</f>
        <v>100</v>
      </c>
      <c r="BH258" s="36" t="n">
        <f aca="false">Y258+AK258</f>
        <v>0</v>
      </c>
      <c r="BI258" s="36" t="n">
        <f aca="false">SUM(AV258:AW258)</f>
        <v>25</v>
      </c>
      <c r="BJ258" s="36" t="n">
        <f aca="false">AA258+AM258</f>
        <v>0</v>
      </c>
      <c r="BK258" s="36" t="n">
        <f aca="false">SUM(AX258:AY258)</f>
        <v>36</v>
      </c>
      <c r="BL258" s="37" t="n">
        <f aca="false">BE258+BI258</f>
        <v>106</v>
      </c>
      <c r="BM258" s="37" t="n">
        <f aca="false">BG258+BK258</f>
        <v>136</v>
      </c>
      <c r="BN258" s="38" t="n">
        <f aca="false">BL258+BM258</f>
        <v>242</v>
      </c>
      <c r="BO258" s="39" t="n">
        <f aca="false">BN258/N258*100</f>
        <v>73.1117824773414</v>
      </c>
      <c r="BP258" s="10" t="n">
        <v>27</v>
      </c>
      <c r="BQ258" s="10" t="n">
        <v>0</v>
      </c>
      <c r="BR258" s="10" t="n">
        <v>0</v>
      </c>
      <c r="BS258" s="10" t="n">
        <v>5</v>
      </c>
      <c r="BT258" s="10" t="n">
        <v>0</v>
      </c>
      <c r="BU258" s="10" t="n">
        <v>0</v>
      </c>
    </row>
    <row r="259" customFormat="false" ht="32.25" hidden="false" customHeight="true" outlineLevel="0" collapsed="false">
      <c r="A259" s="27" t="n">
        <v>5</v>
      </c>
      <c r="B259" s="28" t="s">
        <v>47</v>
      </c>
      <c r="C259" s="10" t="n">
        <v>3</v>
      </c>
      <c r="D259" s="10" t="n">
        <v>0</v>
      </c>
      <c r="E259" s="10" t="n">
        <v>3</v>
      </c>
      <c r="F259" s="10" t="n">
        <v>0</v>
      </c>
      <c r="G259" s="10" t="n">
        <v>0</v>
      </c>
      <c r="H259" s="29" t="n">
        <v>302</v>
      </c>
      <c r="I259" s="29" t="n">
        <v>303</v>
      </c>
      <c r="J259" s="30" t="n">
        <v>155</v>
      </c>
      <c r="K259" s="30" t="n">
        <v>110</v>
      </c>
      <c r="L259" s="30" t="n">
        <v>75</v>
      </c>
      <c r="M259" s="30" t="n">
        <v>80</v>
      </c>
      <c r="N259" s="31" t="n">
        <f aca="false">SUM(J259:M259)</f>
        <v>420</v>
      </c>
      <c r="O259" s="32" t="n">
        <v>0</v>
      </c>
      <c r="P259" s="33" t="n">
        <f aca="false">P237+Q237</f>
        <v>65</v>
      </c>
      <c r="Q259" s="33"/>
      <c r="R259" s="33" t="n">
        <f aca="false">R237+S237</f>
        <v>84</v>
      </c>
      <c r="S259" s="33"/>
      <c r="T259" s="33" t="n">
        <f aca="false">T237+U237</f>
        <v>43</v>
      </c>
      <c r="U259" s="34"/>
      <c r="V259" s="33" t="n">
        <f aca="false">V237+W237</f>
        <v>38</v>
      </c>
      <c r="W259" s="34"/>
      <c r="X259" s="33" t="n">
        <f aca="false">X237+Y237</f>
        <v>26</v>
      </c>
      <c r="Y259" s="34"/>
      <c r="Z259" s="33" t="n">
        <f aca="false">Z237+AA237</f>
        <v>33</v>
      </c>
      <c r="AA259" s="34"/>
      <c r="AB259" s="33" t="n">
        <f aca="false">AB237+AC237</f>
        <v>25</v>
      </c>
      <c r="AC259" s="33"/>
      <c r="AD259" s="33" t="n">
        <f aca="false">AD237+AE237</f>
        <v>30</v>
      </c>
      <c r="AE259" s="33"/>
      <c r="AF259" s="33" t="n">
        <f aca="false">AF237+AG237</f>
        <v>27</v>
      </c>
      <c r="AG259" s="34"/>
      <c r="AH259" s="33" t="n">
        <f aca="false">AH237+AI237</f>
        <v>29</v>
      </c>
      <c r="AI259" s="34"/>
      <c r="AJ259" s="33" t="n">
        <f aca="false">AJ237+AK237</f>
        <v>20</v>
      </c>
      <c r="AK259" s="34"/>
      <c r="AL259" s="33" t="n">
        <f aca="false">AL237+AM237</f>
        <v>19</v>
      </c>
      <c r="AM259" s="34"/>
      <c r="AN259" s="35" t="n">
        <f aca="false">P259+AB259</f>
        <v>90</v>
      </c>
      <c r="AO259" s="35" t="n">
        <f aca="false">Q259+AC259</f>
        <v>0</v>
      </c>
      <c r="AP259" s="35" t="n">
        <f aca="false">R259+AD259</f>
        <v>114</v>
      </c>
      <c r="AQ259" s="35" t="n">
        <f aca="false">S259+AE259</f>
        <v>0</v>
      </c>
      <c r="AR259" s="35" t="n">
        <f aca="false">T259+AF259</f>
        <v>70</v>
      </c>
      <c r="AS259" s="35" t="n">
        <f aca="false">U259+AG259</f>
        <v>0</v>
      </c>
      <c r="AT259" s="35" t="n">
        <f aca="false">V259+AH259</f>
        <v>67</v>
      </c>
      <c r="AU259" s="35" t="n">
        <f aca="false">W259+AI259</f>
        <v>0</v>
      </c>
      <c r="AV259" s="35" t="n">
        <f aca="false">X259+AJ259</f>
        <v>46</v>
      </c>
      <c r="AW259" s="35" t="n">
        <f aca="false">Y259+AK259</f>
        <v>0</v>
      </c>
      <c r="AX259" s="35" t="n">
        <f aca="false">Z259+AL259</f>
        <v>52</v>
      </c>
      <c r="AY259" s="35" t="n">
        <f aca="false">AA259+AM259</f>
        <v>0</v>
      </c>
      <c r="AZ259" s="36" t="n">
        <f aca="false">AO259</f>
        <v>0</v>
      </c>
      <c r="BA259" s="36" t="n">
        <f aca="false">SUM(AN259:AO259)</f>
        <v>90</v>
      </c>
      <c r="BB259" s="36" t="n">
        <f aca="false">S259+AE259</f>
        <v>0</v>
      </c>
      <c r="BC259" s="36" t="n">
        <f aca="false">SUM(AP259:AQ259)</f>
        <v>114</v>
      </c>
      <c r="BD259" s="36" t="n">
        <f aca="false">U259+AG259</f>
        <v>0</v>
      </c>
      <c r="BE259" s="36" t="n">
        <f aca="false">SUM(AR259:AS259)</f>
        <v>70</v>
      </c>
      <c r="BF259" s="36" t="n">
        <f aca="false">W259+AI259</f>
        <v>0</v>
      </c>
      <c r="BG259" s="36" t="n">
        <f aca="false">SUM(AT259:AU259)</f>
        <v>67</v>
      </c>
      <c r="BH259" s="36" t="n">
        <f aca="false">Y259+AK259</f>
        <v>0</v>
      </c>
      <c r="BI259" s="36" t="n">
        <f aca="false">SUM(AV259:AW259)</f>
        <v>46</v>
      </c>
      <c r="BJ259" s="36" t="n">
        <f aca="false">AA259+AM259</f>
        <v>0</v>
      </c>
      <c r="BK259" s="36" t="n">
        <f aca="false">SUM(AX259:AY259)</f>
        <v>52</v>
      </c>
      <c r="BL259" s="37" t="n">
        <f aca="false">BE259+BI259</f>
        <v>116</v>
      </c>
      <c r="BM259" s="37" t="n">
        <f aca="false">BG259+BK259</f>
        <v>119</v>
      </c>
      <c r="BN259" s="38" t="n">
        <f aca="false">BL259+BM259</f>
        <v>235</v>
      </c>
      <c r="BO259" s="39" t="n">
        <f aca="false">BN259/N259*100</f>
        <v>55.952380952381</v>
      </c>
      <c r="BP259" s="10" t="n">
        <v>10</v>
      </c>
      <c r="BQ259" s="10" t="n">
        <v>1</v>
      </c>
      <c r="BR259" s="10" t="n">
        <v>0</v>
      </c>
      <c r="BS259" s="10" t="n">
        <v>6</v>
      </c>
      <c r="BT259" s="10" t="n">
        <v>0</v>
      </c>
      <c r="BU259" s="10" t="n">
        <v>0</v>
      </c>
    </row>
    <row r="260" customFormat="false" ht="36.75" hidden="false" customHeight="true" outlineLevel="0" collapsed="false">
      <c r="A260" s="15" t="s">
        <v>48</v>
      </c>
      <c r="B260" s="15"/>
      <c r="C260" s="21" t="n">
        <f aca="false">SUM(C254:C259)</f>
        <v>15</v>
      </c>
      <c r="D260" s="21" t="n">
        <f aca="false">SUM(D254:D259)</f>
        <v>0</v>
      </c>
      <c r="E260" s="21" t="n">
        <f aca="false">SUM(E254:E259)</f>
        <v>15</v>
      </c>
      <c r="F260" s="21" t="n">
        <f aca="false">SUM(F254:F259)</f>
        <v>0</v>
      </c>
      <c r="G260" s="21" t="n">
        <f aca="false">SUM(G254:G259)</f>
        <v>0</v>
      </c>
      <c r="H260" s="31" t="n">
        <f aca="false">SUM(H254:H259)</f>
        <v>1548</v>
      </c>
      <c r="I260" s="31" t="n">
        <f aca="false">SUM(I254:I259)</f>
        <v>1604</v>
      </c>
      <c r="J260" s="31" t="n">
        <f aca="false">SUM(J254:J259)</f>
        <v>765</v>
      </c>
      <c r="K260" s="31" t="n">
        <f aca="false">SUM(K254:K259)</f>
        <v>814</v>
      </c>
      <c r="L260" s="31" t="n">
        <f aca="false">SUM(L254:L259)</f>
        <v>440</v>
      </c>
      <c r="M260" s="31" t="n">
        <f aca="false">SUM(M254:M259)</f>
        <v>480</v>
      </c>
      <c r="N260" s="31" t="n">
        <f aca="false">SUM(J260:M260)</f>
        <v>2499</v>
      </c>
      <c r="O260" s="31" t="n">
        <v>1506</v>
      </c>
      <c r="P260" s="21" t="n">
        <f aca="false">SUM(P254:P259)</f>
        <v>330</v>
      </c>
      <c r="Q260" s="21" t="n">
        <f aca="false">SUM(Q254:Q259)</f>
        <v>0</v>
      </c>
      <c r="R260" s="21" t="n">
        <f aca="false">SUM(R254:R259)</f>
        <v>626</v>
      </c>
      <c r="S260" s="21" t="n">
        <f aca="false">SUM(S254:S259)</f>
        <v>0</v>
      </c>
      <c r="T260" s="21" t="n">
        <f aca="false">SUM(T254:T259)</f>
        <v>319</v>
      </c>
      <c r="U260" s="44" t="n">
        <f aca="false">SUM(U254:U259)</f>
        <v>0</v>
      </c>
      <c r="V260" s="44" t="n">
        <f aca="false">SUM(V254:V259)</f>
        <v>390</v>
      </c>
      <c r="W260" s="44" t="n">
        <f aca="false">SUM(W254:W259)</f>
        <v>0</v>
      </c>
      <c r="X260" s="44" t="n">
        <f aca="false">SUM(X254:X259)</f>
        <v>233</v>
      </c>
      <c r="Y260" s="44" t="n">
        <f aca="false">SUM(Y254:Y259)</f>
        <v>0</v>
      </c>
      <c r="Z260" s="44" t="n">
        <f aca="false">SUM(Z254:Z259)</f>
        <v>253</v>
      </c>
      <c r="AA260" s="44" t="n">
        <f aca="false">SUM(AA254:AA259)</f>
        <v>0</v>
      </c>
      <c r="AB260" s="21" t="n">
        <f aca="false">SUM(AB254:AB259)</f>
        <v>190</v>
      </c>
      <c r="AC260" s="21" t="n">
        <f aca="false">SUM(AC254:AC259)</f>
        <v>0</v>
      </c>
      <c r="AD260" s="21" t="n">
        <f aca="false">SUM(AD254:AD259)</f>
        <v>278</v>
      </c>
      <c r="AE260" s="21" t="n">
        <f aca="false">SUM(AE254:AE259)</f>
        <v>0</v>
      </c>
      <c r="AF260" s="44" t="n">
        <f aca="false">SUM(AF254:AF259)</f>
        <v>196</v>
      </c>
      <c r="AG260" s="44" t="n">
        <f aca="false">SUM(AG254:AG259)</f>
        <v>0</v>
      </c>
      <c r="AH260" s="44" t="n">
        <f aca="false">SUM(AH254:AH259)</f>
        <v>259</v>
      </c>
      <c r="AI260" s="44" t="n">
        <f aca="false">SUM(AI254:AI259)</f>
        <v>0</v>
      </c>
      <c r="AJ260" s="44" t="n">
        <f aca="false">SUM(AJ254:AJ259)</f>
        <v>129</v>
      </c>
      <c r="AK260" s="44" t="n">
        <f aca="false">SUM(AK254:AK259)</f>
        <v>0</v>
      </c>
      <c r="AL260" s="44" t="n">
        <f aca="false">SUM(AL254:AL259)</f>
        <v>153</v>
      </c>
      <c r="AM260" s="44" t="n">
        <f aca="false">SUM(AM254:AM259)</f>
        <v>0</v>
      </c>
      <c r="AN260" s="21" t="n">
        <f aca="false">SUM(AN254:AN259)</f>
        <v>520</v>
      </c>
      <c r="AO260" s="21" t="n">
        <f aca="false">SUM(AO254:AO259)</f>
        <v>0</v>
      </c>
      <c r="AP260" s="21" t="n">
        <f aca="false">SUM(AP254:AP259)</f>
        <v>904</v>
      </c>
      <c r="AQ260" s="21" t="n">
        <f aca="false">SUM(AQ254:AQ259)</f>
        <v>0</v>
      </c>
      <c r="AR260" s="44" t="n">
        <f aca="false">SUM(AR254:AR259)</f>
        <v>515</v>
      </c>
      <c r="AS260" s="44" t="n">
        <f aca="false">SUM(AS254:AS259)</f>
        <v>0</v>
      </c>
      <c r="AT260" s="44" t="n">
        <f aca="false">SUM(AT254:AT259)</f>
        <v>649</v>
      </c>
      <c r="AU260" s="44" t="n">
        <f aca="false">SUM(AU254:AU259)</f>
        <v>0</v>
      </c>
      <c r="AV260" s="44" t="n">
        <f aca="false">SUM(AV254:AV259)</f>
        <v>362</v>
      </c>
      <c r="AW260" s="44" t="n">
        <f aca="false">SUM(AW254:AW259)</f>
        <v>0</v>
      </c>
      <c r="AX260" s="44" t="n">
        <f aca="false">SUM(AX254:AX259)</f>
        <v>406</v>
      </c>
      <c r="AY260" s="44" t="n">
        <f aca="false">SUM(AY254:AY259)</f>
        <v>0</v>
      </c>
      <c r="AZ260" s="21" t="n">
        <f aca="false">SUM(AZ254:AZ259)</f>
        <v>0</v>
      </c>
      <c r="BA260" s="21" t="n">
        <f aca="false">SUM(BA254:BA259)</f>
        <v>520</v>
      </c>
      <c r="BB260" s="21" t="n">
        <f aca="false">SUM(BB254:BB259)</f>
        <v>0</v>
      </c>
      <c r="BC260" s="21" t="n">
        <f aca="false">SUM(BC254:BC259)</f>
        <v>904</v>
      </c>
      <c r="BD260" s="21" t="n">
        <f aca="false">SUM(BD254:BD259)</f>
        <v>0</v>
      </c>
      <c r="BE260" s="21" t="n">
        <f aca="false">SUM(BE254:BE259)</f>
        <v>515</v>
      </c>
      <c r="BF260" s="21" t="n">
        <f aca="false">SUM(BF254:BF259)</f>
        <v>0</v>
      </c>
      <c r="BG260" s="21" t="n">
        <f aca="false">SUM(BG254:BG259)</f>
        <v>649</v>
      </c>
      <c r="BH260" s="21" t="n">
        <f aca="false">SUM(BH254:BH259)</f>
        <v>0</v>
      </c>
      <c r="BI260" s="21" t="n">
        <f aca="false">SUM(BI254:BI259)</f>
        <v>362</v>
      </c>
      <c r="BJ260" s="21" t="n">
        <f aca="false">SUM(BJ254:BJ259)</f>
        <v>0</v>
      </c>
      <c r="BK260" s="21" t="n">
        <f aca="false">SUM(BK254:BK259)</f>
        <v>406</v>
      </c>
      <c r="BL260" s="21" t="n">
        <f aca="false">SUM(BL254:BL259)</f>
        <v>877</v>
      </c>
      <c r="BM260" s="21" t="n">
        <f aca="false">SUM(BM254:BM259)</f>
        <v>1055</v>
      </c>
      <c r="BN260" s="45" t="n">
        <f aca="false">SUM(BN254:BN259)</f>
        <v>1932</v>
      </c>
      <c r="BO260" s="45" t="n">
        <f aca="false">BN260/N260*100</f>
        <v>77.3109243697479</v>
      </c>
      <c r="BP260" s="21" t="n">
        <f aca="false">SUM(BP254:BP259)</f>
        <v>128</v>
      </c>
      <c r="BQ260" s="21" t="n">
        <f aca="false">SUM(BQ254:BQ259)</f>
        <v>1</v>
      </c>
      <c r="BR260" s="21" t="n">
        <f aca="false">SUM(BR254:BR259)</f>
        <v>0</v>
      </c>
      <c r="BS260" s="21" t="n">
        <f aca="false">SUM(BS254:BS259)</f>
        <v>70</v>
      </c>
      <c r="BT260" s="21" t="n">
        <f aca="false">SUM(BT254:BT259)</f>
        <v>0</v>
      </c>
      <c r="BU260" s="21" t="n">
        <f aca="false">SUM(BU254:BU259)</f>
        <v>0</v>
      </c>
    </row>
  </sheetData>
  <mergeCells count="987">
    <mergeCell ref="A7:A10"/>
    <mergeCell ref="B7:B10"/>
    <mergeCell ref="C7:C10"/>
    <mergeCell ref="D7:D10"/>
    <mergeCell ref="E7:E10"/>
    <mergeCell ref="F7:F10"/>
    <mergeCell ref="G7:G10"/>
    <mergeCell ref="H7:L7"/>
    <mergeCell ref="O7:O10"/>
    <mergeCell ref="P7:AA7"/>
    <mergeCell ref="AB7:AM7"/>
    <mergeCell ref="AN7:AY7"/>
    <mergeCell ref="AZ7:BK7"/>
    <mergeCell ref="BL7:BO7"/>
    <mergeCell ref="BP7:BR7"/>
    <mergeCell ref="BS7:BU7"/>
    <mergeCell ref="H8:I8"/>
    <mergeCell ref="J8:K8"/>
    <mergeCell ref="L8:M8"/>
    <mergeCell ref="N8:N10"/>
    <mergeCell ref="P8:S8"/>
    <mergeCell ref="T8:W8"/>
    <mergeCell ref="X8:AA8"/>
    <mergeCell ref="AB8:AE8"/>
    <mergeCell ref="AF8:AI8"/>
    <mergeCell ref="AJ8:AM8"/>
    <mergeCell ref="AN8:AQ8"/>
    <mergeCell ref="AR8:AU8"/>
    <mergeCell ref="AV8:AY8"/>
    <mergeCell ref="AZ8:BC8"/>
    <mergeCell ref="BD8:BG8"/>
    <mergeCell ref="BH8:BK8"/>
    <mergeCell ref="BL8:BO8"/>
    <mergeCell ref="BP8:BR8"/>
    <mergeCell ref="BS8:BU8"/>
    <mergeCell ref="H9:H10"/>
    <mergeCell ref="I9:I10"/>
    <mergeCell ref="J9:J10"/>
    <mergeCell ref="K9:K10"/>
    <mergeCell ref="L9:L10"/>
    <mergeCell ref="M9:M10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N9:BN10"/>
    <mergeCell ref="BO9:BO10"/>
    <mergeCell ref="BP9:BP10"/>
    <mergeCell ref="BQ9:BQ10"/>
    <mergeCell ref="BR9:BR10"/>
    <mergeCell ref="BS9:BS10"/>
    <mergeCell ref="BT9:BT10"/>
    <mergeCell ref="BU9:BU10"/>
    <mergeCell ref="H11:M11"/>
    <mergeCell ref="P11:AA11"/>
    <mergeCell ref="AB11:AM11"/>
    <mergeCell ref="AN11:AY11"/>
    <mergeCell ref="AZ11:BK11"/>
    <mergeCell ref="BL11:BO11"/>
    <mergeCell ref="BP11:BR11"/>
    <mergeCell ref="BS11:BU11"/>
    <mergeCell ref="A18:B18"/>
    <mergeCell ref="BB21:BC21"/>
    <mergeCell ref="BN21:BP21"/>
    <mergeCell ref="D22:E22"/>
    <mergeCell ref="A29:A32"/>
    <mergeCell ref="B29:B32"/>
    <mergeCell ref="C29:C32"/>
    <mergeCell ref="D29:D32"/>
    <mergeCell ref="E29:E32"/>
    <mergeCell ref="F29:F32"/>
    <mergeCell ref="G29:G32"/>
    <mergeCell ref="H29:L29"/>
    <mergeCell ref="O29:O32"/>
    <mergeCell ref="P29:AA29"/>
    <mergeCell ref="AB29:AM29"/>
    <mergeCell ref="AN29:AY29"/>
    <mergeCell ref="AZ29:BK29"/>
    <mergeCell ref="BL29:BO29"/>
    <mergeCell ref="BP29:BR29"/>
    <mergeCell ref="BS29:BU29"/>
    <mergeCell ref="H30:I30"/>
    <mergeCell ref="J30:K30"/>
    <mergeCell ref="L30:M30"/>
    <mergeCell ref="N30:N32"/>
    <mergeCell ref="P30:S30"/>
    <mergeCell ref="T30:W30"/>
    <mergeCell ref="X30:AA30"/>
    <mergeCell ref="AB30:AE30"/>
    <mergeCell ref="AF30:AI30"/>
    <mergeCell ref="AJ30:AM30"/>
    <mergeCell ref="AN30:AQ30"/>
    <mergeCell ref="AR30:AU30"/>
    <mergeCell ref="AV30:AY30"/>
    <mergeCell ref="AZ30:BC30"/>
    <mergeCell ref="BD30:BG30"/>
    <mergeCell ref="BH30:BK30"/>
    <mergeCell ref="BL30:BO30"/>
    <mergeCell ref="BP30:BR30"/>
    <mergeCell ref="BS30:BU30"/>
    <mergeCell ref="H31:H32"/>
    <mergeCell ref="I31:I32"/>
    <mergeCell ref="J31:J32"/>
    <mergeCell ref="K31:K32"/>
    <mergeCell ref="L31:L32"/>
    <mergeCell ref="M31:M32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N31:BN32"/>
    <mergeCell ref="BO31:BO32"/>
    <mergeCell ref="BP31:BP32"/>
    <mergeCell ref="BQ31:BQ32"/>
    <mergeCell ref="BR31:BR32"/>
    <mergeCell ref="BS31:BS32"/>
    <mergeCell ref="BT31:BT32"/>
    <mergeCell ref="BU31:BU32"/>
    <mergeCell ref="H33:M33"/>
    <mergeCell ref="P33:AA33"/>
    <mergeCell ref="AB33:AM33"/>
    <mergeCell ref="AN33:AY33"/>
    <mergeCell ref="AZ33:BK33"/>
    <mergeCell ref="BL33:BO33"/>
    <mergeCell ref="BP33:BR33"/>
    <mergeCell ref="BS33:BU33"/>
    <mergeCell ref="A40:B40"/>
    <mergeCell ref="A51:A54"/>
    <mergeCell ref="B51:B54"/>
    <mergeCell ref="C51:C54"/>
    <mergeCell ref="D51:D54"/>
    <mergeCell ref="E51:E54"/>
    <mergeCell ref="F51:F54"/>
    <mergeCell ref="G51:G54"/>
    <mergeCell ref="H51:L51"/>
    <mergeCell ref="O51:O54"/>
    <mergeCell ref="P51:AA51"/>
    <mergeCell ref="AB51:AM51"/>
    <mergeCell ref="AN51:AY51"/>
    <mergeCell ref="AZ51:BK51"/>
    <mergeCell ref="BL51:BO51"/>
    <mergeCell ref="BP51:BR51"/>
    <mergeCell ref="BS51:BU51"/>
    <mergeCell ref="H52:I52"/>
    <mergeCell ref="J52:K52"/>
    <mergeCell ref="L52:M52"/>
    <mergeCell ref="N52:N54"/>
    <mergeCell ref="P52:S52"/>
    <mergeCell ref="T52:W52"/>
    <mergeCell ref="X52:AA52"/>
    <mergeCell ref="AB52:AE52"/>
    <mergeCell ref="AF52:AI52"/>
    <mergeCell ref="AJ52:AM52"/>
    <mergeCell ref="AN52:AQ52"/>
    <mergeCell ref="AR52:AU52"/>
    <mergeCell ref="AV52:AY52"/>
    <mergeCell ref="AZ52:BC52"/>
    <mergeCell ref="BD52:BG52"/>
    <mergeCell ref="BH52:BK52"/>
    <mergeCell ref="BL52:BO52"/>
    <mergeCell ref="BP52:BR52"/>
    <mergeCell ref="BS52:BU52"/>
    <mergeCell ref="H53:H54"/>
    <mergeCell ref="I53:I54"/>
    <mergeCell ref="J53:J54"/>
    <mergeCell ref="K53:K54"/>
    <mergeCell ref="L53:L54"/>
    <mergeCell ref="M53:M54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I53"/>
    <mergeCell ref="BJ53:BK53"/>
    <mergeCell ref="BN53:BN54"/>
    <mergeCell ref="BO53:BO54"/>
    <mergeCell ref="BP53:BP54"/>
    <mergeCell ref="BQ53:BQ54"/>
    <mergeCell ref="BR53:BR54"/>
    <mergeCell ref="BS53:BS54"/>
    <mergeCell ref="BT53:BT54"/>
    <mergeCell ref="BU53:BU54"/>
    <mergeCell ref="H55:M55"/>
    <mergeCell ref="P55:AA55"/>
    <mergeCell ref="AB55:AM55"/>
    <mergeCell ref="AN55:AY55"/>
    <mergeCell ref="AZ55:BK55"/>
    <mergeCell ref="BL55:BO55"/>
    <mergeCell ref="BP55:BR55"/>
    <mergeCell ref="BS55:BU55"/>
    <mergeCell ref="A62:B62"/>
    <mergeCell ref="A73:A76"/>
    <mergeCell ref="B73:B76"/>
    <mergeCell ref="C73:C76"/>
    <mergeCell ref="D73:D76"/>
    <mergeCell ref="E73:E76"/>
    <mergeCell ref="F73:F76"/>
    <mergeCell ref="G73:G76"/>
    <mergeCell ref="H73:L73"/>
    <mergeCell ref="O73:O76"/>
    <mergeCell ref="P73:AA73"/>
    <mergeCell ref="AB73:AM73"/>
    <mergeCell ref="AN73:AY73"/>
    <mergeCell ref="AZ73:BK73"/>
    <mergeCell ref="BL73:BO73"/>
    <mergeCell ref="BP73:BR73"/>
    <mergeCell ref="BS73:BU73"/>
    <mergeCell ref="H74:I74"/>
    <mergeCell ref="J74:K74"/>
    <mergeCell ref="L74:M74"/>
    <mergeCell ref="N74:N76"/>
    <mergeCell ref="P74:S74"/>
    <mergeCell ref="T74:W74"/>
    <mergeCell ref="X74:AA74"/>
    <mergeCell ref="AB74:AE74"/>
    <mergeCell ref="AF74:AI74"/>
    <mergeCell ref="AJ74:AM74"/>
    <mergeCell ref="AN74:AQ74"/>
    <mergeCell ref="AR74:AU74"/>
    <mergeCell ref="AV74:AY74"/>
    <mergeCell ref="AZ74:BC74"/>
    <mergeCell ref="BD74:BG74"/>
    <mergeCell ref="BH74:BK74"/>
    <mergeCell ref="BL74:BO74"/>
    <mergeCell ref="BP74:BR74"/>
    <mergeCell ref="BS74:BU74"/>
    <mergeCell ref="H75:H76"/>
    <mergeCell ref="I75:I76"/>
    <mergeCell ref="J75:J76"/>
    <mergeCell ref="K75:K76"/>
    <mergeCell ref="L75:L76"/>
    <mergeCell ref="M75:M76"/>
    <mergeCell ref="P75:Q75"/>
    <mergeCell ref="R75:S75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AJ75:AK75"/>
    <mergeCell ref="AL75:AM75"/>
    <mergeCell ref="AN75:AO75"/>
    <mergeCell ref="AP75:AQ75"/>
    <mergeCell ref="AR75:AS75"/>
    <mergeCell ref="AT75:AU75"/>
    <mergeCell ref="AV75:AW75"/>
    <mergeCell ref="AX75:AY75"/>
    <mergeCell ref="AZ75:BA75"/>
    <mergeCell ref="BB75:BC75"/>
    <mergeCell ref="BD75:BE75"/>
    <mergeCell ref="BF75:BG75"/>
    <mergeCell ref="BH75:BI75"/>
    <mergeCell ref="BJ75:BK75"/>
    <mergeCell ref="BN75:BN76"/>
    <mergeCell ref="BO75:BO76"/>
    <mergeCell ref="BP75:BP76"/>
    <mergeCell ref="BQ75:BQ76"/>
    <mergeCell ref="BR75:BR76"/>
    <mergeCell ref="BS75:BS76"/>
    <mergeCell ref="BT75:BT76"/>
    <mergeCell ref="BU75:BU76"/>
    <mergeCell ref="H77:M77"/>
    <mergeCell ref="P77:AA77"/>
    <mergeCell ref="AB77:AM77"/>
    <mergeCell ref="AN77:AY77"/>
    <mergeCell ref="AZ77:BK77"/>
    <mergeCell ref="BL77:BO77"/>
    <mergeCell ref="BP77:BR77"/>
    <mergeCell ref="BS77:BU77"/>
    <mergeCell ref="A84:B84"/>
    <mergeCell ref="A95:A98"/>
    <mergeCell ref="B95:B98"/>
    <mergeCell ref="C95:C98"/>
    <mergeCell ref="D95:D98"/>
    <mergeCell ref="E95:E98"/>
    <mergeCell ref="F95:F98"/>
    <mergeCell ref="G95:G98"/>
    <mergeCell ref="H95:L95"/>
    <mergeCell ref="O95:O98"/>
    <mergeCell ref="P95:AA95"/>
    <mergeCell ref="AB95:AM95"/>
    <mergeCell ref="AN95:AY95"/>
    <mergeCell ref="AZ95:BK95"/>
    <mergeCell ref="BL95:BO95"/>
    <mergeCell ref="BP95:BR95"/>
    <mergeCell ref="BS95:BU95"/>
    <mergeCell ref="H96:I96"/>
    <mergeCell ref="J96:K96"/>
    <mergeCell ref="L96:M96"/>
    <mergeCell ref="N96:N98"/>
    <mergeCell ref="P96:S96"/>
    <mergeCell ref="T96:W96"/>
    <mergeCell ref="X96:AA96"/>
    <mergeCell ref="AB96:AE96"/>
    <mergeCell ref="AF96:AI96"/>
    <mergeCell ref="AJ96:AM96"/>
    <mergeCell ref="AN96:AQ96"/>
    <mergeCell ref="AR96:AU96"/>
    <mergeCell ref="AV96:AY96"/>
    <mergeCell ref="AZ96:BC96"/>
    <mergeCell ref="BD96:BG96"/>
    <mergeCell ref="BH96:BK96"/>
    <mergeCell ref="BL96:BO96"/>
    <mergeCell ref="BP96:BR96"/>
    <mergeCell ref="BS96:BU96"/>
    <mergeCell ref="H97:H98"/>
    <mergeCell ref="I97:I98"/>
    <mergeCell ref="J97:J98"/>
    <mergeCell ref="K97:K98"/>
    <mergeCell ref="L97:L98"/>
    <mergeCell ref="M97:M98"/>
    <mergeCell ref="P97:Q97"/>
    <mergeCell ref="R97:S97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AJ97:AK97"/>
    <mergeCell ref="AL97:AM97"/>
    <mergeCell ref="AN97:AO97"/>
    <mergeCell ref="AP97:AQ97"/>
    <mergeCell ref="AR97:AS97"/>
    <mergeCell ref="AT97:AU97"/>
    <mergeCell ref="AV97:AW97"/>
    <mergeCell ref="AX97:AY97"/>
    <mergeCell ref="AZ97:BA97"/>
    <mergeCell ref="BB97:BC97"/>
    <mergeCell ref="BD97:BE97"/>
    <mergeCell ref="BF97:BG97"/>
    <mergeCell ref="BH97:BI97"/>
    <mergeCell ref="BJ97:BK97"/>
    <mergeCell ref="BN97:BN98"/>
    <mergeCell ref="BO97:BO98"/>
    <mergeCell ref="BP97:BP98"/>
    <mergeCell ref="BQ97:BQ98"/>
    <mergeCell ref="BR97:BR98"/>
    <mergeCell ref="BS97:BS98"/>
    <mergeCell ref="BT97:BT98"/>
    <mergeCell ref="BU97:BU98"/>
    <mergeCell ref="H99:M99"/>
    <mergeCell ref="P99:AA99"/>
    <mergeCell ref="AB99:AM99"/>
    <mergeCell ref="AN99:AY99"/>
    <mergeCell ref="AZ99:BK99"/>
    <mergeCell ref="BL99:BO99"/>
    <mergeCell ref="BP99:BR99"/>
    <mergeCell ref="BS99:BU99"/>
    <mergeCell ref="A106:B106"/>
    <mergeCell ref="A117:A120"/>
    <mergeCell ref="B117:B120"/>
    <mergeCell ref="C117:C120"/>
    <mergeCell ref="D117:D120"/>
    <mergeCell ref="E117:E120"/>
    <mergeCell ref="F117:F120"/>
    <mergeCell ref="G117:G120"/>
    <mergeCell ref="H117:L117"/>
    <mergeCell ref="O117:O120"/>
    <mergeCell ref="P117:AA117"/>
    <mergeCell ref="AB117:AM117"/>
    <mergeCell ref="AN117:AY117"/>
    <mergeCell ref="AZ117:BK117"/>
    <mergeCell ref="BL117:BO117"/>
    <mergeCell ref="BP117:BR117"/>
    <mergeCell ref="BS117:BU117"/>
    <mergeCell ref="H118:I118"/>
    <mergeCell ref="J118:K118"/>
    <mergeCell ref="L118:M118"/>
    <mergeCell ref="N118:N120"/>
    <mergeCell ref="P118:S118"/>
    <mergeCell ref="T118:W118"/>
    <mergeCell ref="X118:AA118"/>
    <mergeCell ref="AB118:AE118"/>
    <mergeCell ref="AF118:AI118"/>
    <mergeCell ref="AJ118:AM118"/>
    <mergeCell ref="AN118:AQ118"/>
    <mergeCell ref="AR118:AU118"/>
    <mergeCell ref="AV118:AY118"/>
    <mergeCell ref="AZ118:BC118"/>
    <mergeCell ref="BD118:BG118"/>
    <mergeCell ref="BH118:BK118"/>
    <mergeCell ref="BL118:BO118"/>
    <mergeCell ref="BP118:BR118"/>
    <mergeCell ref="BS118:BU118"/>
    <mergeCell ref="H119:H120"/>
    <mergeCell ref="I119:I120"/>
    <mergeCell ref="J119:J120"/>
    <mergeCell ref="K119:K120"/>
    <mergeCell ref="L119:L120"/>
    <mergeCell ref="M119:M120"/>
    <mergeCell ref="P119:Q119"/>
    <mergeCell ref="R119:S119"/>
    <mergeCell ref="T119:U119"/>
    <mergeCell ref="V119:W119"/>
    <mergeCell ref="X119:Y119"/>
    <mergeCell ref="Z119:AA119"/>
    <mergeCell ref="AB119:AC119"/>
    <mergeCell ref="AD119:AE119"/>
    <mergeCell ref="AF119:AG119"/>
    <mergeCell ref="AH119:AI119"/>
    <mergeCell ref="AJ119:AK119"/>
    <mergeCell ref="AL119:AM119"/>
    <mergeCell ref="AN119:AO119"/>
    <mergeCell ref="AP119:AQ119"/>
    <mergeCell ref="AR119:AS119"/>
    <mergeCell ref="AT119:AU119"/>
    <mergeCell ref="AV119:AW119"/>
    <mergeCell ref="AX119:AY119"/>
    <mergeCell ref="AZ119:BA119"/>
    <mergeCell ref="BB119:BC119"/>
    <mergeCell ref="BD119:BE119"/>
    <mergeCell ref="BF119:BG119"/>
    <mergeCell ref="BH119:BI119"/>
    <mergeCell ref="BJ119:BK119"/>
    <mergeCell ref="BN119:BN120"/>
    <mergeCell ref="BO119:BO120"/>
    <mergeCell ref="BP119:BP120"/>
    <mergeCell ref="BQ119:BQ120"/>
    <mergeCell ref="BR119:BR120"/>
    <mergeCell ref="BS119:BS120"/>
    <mergeCell ref="BT119:BT120"/>
    <mergeCell ref="BU119:BU120"/>
    <mergeCell ref="H121:M121"/>
    <mergeCell ref="P121:AA121"/>
    <mergeCell ref="AB121:AM121"/>
    <mergeCell ref="AN121:AY121"/>
    <mergeCell ref="AZ121:BK121"/>
    <mergeCell ref="BL121:BO121"/>
    <mergeCell ref="BP121:BR121"/>
    <mergeCell ref="BS121:BU121"/>
    <mergeCell ref="A128:B128"/>
    <mergeCell ref="A139:A142"/>
    <mergeCell ref="B139:B142"/>
    <mergeCell ref="C139:C142"/>
    <mergeCell ref="D139:D142"/>
    <mergeCell ref="E139:E142"/>
    <mergeCell ref="F139:F142"/>
    <mergeCell ref="G139:G142"/>
    <mergeCell ref="H139:L139"/>
    <mergeCell ref="O139:O142"/>
    <mergeCell ref="P139:AA139"/>
    <mergeCell ref="AB139:AM139"/>
    <mergeCell ref="AN139:AY139"/>
    <mergeCell ref="AZ139:BK139"/>
    <mergeCell ref="BL139:BO139"/>
    <mergeCell ref="BP139:BR139"/>
    <mergeCell ref="BS139:BU139"/>
    <mergeCell ref="H140:I140"/>
    <mergeCell ref="J140:K140"/>
    <mergeCell ref="L140:M140"/>
    <mergeCell ref="N140:N142"/>
    <mergeCell ref="P140:S140"/>
    <mergeCell ref="T140:W140"/>
    <mergeCell ref="X140:AA140"/>
    <mergeCell ref="AB140:AE140"/>
    <mergeCell ref="AF140:AI140"/>
    <mergeCell ref="AJ140:AM140"/>
    <mergeCell ref="AN140:AQ140"/>
    <mergeCell ref="AR140:AU140"/>
    <mergeCell ref="AV140:AY140"/>
    <mergeCell ref="AZ140:BC140"/>
    <mergeCell ref="BD140:BG140"/>
    <mergeCell ref="BH140:BK140"/>
    <mergeCell ref="BL140:BO140"/>
    <mergeCell ref="BP140:BR140"/>
    <mergeCell ref="BS140:BU140"/>
    <mergeCell ref="H141:H142"/>
    <mergeCell ref="I141:I142"/>
    <mergeCell ref="J141:J142"/>
    <mergeCell ref="K141:K142"/>
    <mergeCell ref="L141:L142"/>
    <mergeCell ref="M141:M142"/>
    <mergeCell ref="P141:Q141"/>
    <mergeCell ref="R141:S141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AJ141:AK141"/>
    <mergeCell ref="AL141:AM141"/>
    <mergeCell ref="AN141:AO141"/>
    <mergeCell ref="AP141:AQ141"/>
    <mergeCell ref="AR141:AS141"/>
    <mergeCell ref="AT141:AU141"/>
    <mergeCell ref="AV141:AW141"/>
    <mergeCell ref="AX141:AY141"/>
    <mergeCell ref="AZ141:BA141"/>
    <mergeCell ref="BB141:BC141"/>
    <mergeCell ref="BD141:BE141"/>
    <mergeCell ref="BF141:BG141"/>
    <mergeCell ref="BH141:BI141"/>
    <mergeCell ref="BJ141:BK141"/>
    <mergeCell ref="BN141:BN142"/>
    <mergeCell ref="BO141:BO142"/>
    <mergeCell ref="BP141:BP142"/>
    <mergeCell ref="BQ141:BQ142"/>
    <mergeCell ref="BR141:BR142"/>
    <mergeCell ref="BS141:BS142"/>
    <mergeCell ref="BT141:BT142"/>
    <mergeCell ref="BU141:BU142"/>
    <mergeCell ref="H143:M143"/>
    <mergeCell ref="P143:AA143"/>
    <mergeCell ref="AB143:AM143"/>
    <mergeCell ref="AN143:AY143"/>
    <mergeCell ref="AZ143:BK143"/>
    <mergeCell ref="BL143:BO143"/>
    <mergeCell ref="BP143:BR143"/>
    <mergeCell ref="BS143:BU143"/>
    <mergeCell ref="A150:B150"/>
    <mergeCell ref="A161:A164"/>
    <mergeCell ref="B161:B164"/>
    <mergeCell ref="C161:C164"/>
    <mergeCell ref="D161:D164"/>
    <mergeCell ref="E161:E164"/>
    <mergeCell ref="F161:F164"/>
    <mergeCell ref="G161:G164"/>
    <mergeCell ref="H161:L161"/>
    <mergeCell ref="O161:O164"/>
    <mergeCell ref="P161:AA161"/>
    <mergeCell ref="AB161:AM161"/>
    <mergeCell ref="AN161:AY161"/>
    <mergeCell ref="AZ161:BK161"/>
    <mergeCell ref="BL161:BO161"/>
    <mergeCell ref="BP161:BR161"/>
    <mergeCell ref="BS161:BU161"/>
    <mergeCell ref="H162:I162"/>
    <mergeCell ref="J162:K162"/>
    <mergeCell ref="L162:M162"/>
    <mergeCell ref="N162:N164"/>
    <mergeCell ref="P162:S162"/>
    <mergeCell ref="T162:W162"/>
    <mergeCell ref="X162:AA162"/>
    <mergeCell ref="AB162:AE162"/>
    <mergeCell ref="AF162:AI162"/>
    <mergeCell ref="AJ162:AM162"/>
    <mergeCell ref="AN162:AQ162"/>
    <mergeCell ref="AR162:AU162"/>
    <mergeCell ref="AV162:AY162"/>
    <mergeCell ref="AZ162:BC162"/>
    <mergeCell ref="BD162:BG162"/>
    <mergeCell ref="BH162:BK162"/>
    <mergeCell ref="BL162:BO162"/>
    <mergeCell ref="BP162:BR162"/>
    <mergeCell ref="BS162:BU162"/>
    <mergeCell ref="H163:H164"/>
    <mergeCell ref="I163:I164"/>
    <mergeCell ref="J163:J164"/>
    <mergeCell ref="K163:K164"/>
    <mergeCell ref="L163:L164"/>
    <mergeCell ref="M163:M164"/>
    <mergeCell ref="P163:Q163"/>
    <mergeCell ref="R163:S163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AJ163:AK163"/>
    <mergeCell ref="AL163:AM163"/>
    <mergeCell ref="AN163:AO163"/>
    <mergeCell ref="AP163:AQ163"/>
    <mergeCell ref="AR163:AS163"/>
    <mergeCell ref="AT163:AU163"/>
    <mergeCell ref="AV163:AW163"/>
    <mergeCell ref="AX163:AY163"/>
    <mergeCell ref="AZ163:BA163"/>
    <mergeCell ref="BB163:BC163"/>
    <mergeCell ref="BD163:BE163"/>
    <mergeCell ref="BF163:BG163"/>
    <mergeCell ref="BH163:BI163"/>
    <mergeCell ref="BJ163:BK163"/>
    <mergeCell ref="BN163:BN164"/>
    <mergeCell ref="BO163:BO164"/>
    <mergeCell ref="BP163:BP164"/>
    <mergeCell ref="BQ163:BQ164"/>
    <mergeCell ref="BR163:BR164"/>
    <mergeCell ref="BS163:BS164"/>
    <mergeCell ref="BT163:BT164"/>
    <mergeCell ref="BU163:BU164"/>
    <mergeCell ref="H165:M165"/>
    <mergeCell ref="P165:AA165"/>
    <mergeCell ref="AB165:AM165"/>
    <mergeCell ref="AN165:AY165"/>
    <mergeCell ref="AZ165:BK165"/>
    <mergeCell ref="BL165:BO165"/>
    <mergeCell ref="BP165:BR165"/>
    <mergeCell ref="BS165:BU165"/>
    <mergeCell ref="A172:B172"/>
    <mergeCell ref="A183:A186"/>
    <mergeCell ref="B183:B186"/>
    <mergeCell ref="C183:C186"/>
    <mergeCell ref="D183:D186"/>
    <mergeCell ref="E183:E186"/>
    <mergeCell ref="F183:F186"/>
    <mergeCell ref="G183:G186"/>
    <mergeCell ref="H183:L183"/>
    <mergeCell ref="O183:O186"/>
    <mergeCell ref="P183:AA183"/>
    <mergeCell ref="AB183:AM183"/>
    <mergeCell ref="AN183:AY183"/>
    <mergeCell ref="AZ183:BK183"/>
    <mergeCell ref="BL183:BO183"/>
    <mergeCell ref="BP183:BR183"/>
    <mergeCell ref="BS183:BU183"/>
    <mergeCell ref="H184:I184"/>
    <mergeCell ref="J184:K184"/>
    <mergeCell ref="L184:M184"/>
    <mergeCell ref="N184:N186"/>
    <mergeCell ref="P184:S184"/>
    <mergeCell ref="T184:W184"/>
    <mergeCell ref="X184:AA184"/>
    <mergeCell ref="AB184:AE184"/>
    <mergeCell ref="AF184:AI184"/>
    <mergeCell ref="AJ184:AM184"/>
    <mergeCell ref="AN184:AQ184"/>
    <mergeCell ref="AR184:AU184"/>
    <mergeCell ref="AV184:AY184"/>
    <mergeCell ref="AZ184:BC184"/>
    <mergeCell ref="BD184:BG184"/>
    <mergeCell ref="BH184:BK184"/>
    <mergeCell ref="BL184:BO184"/>
    <mergeCell ref="BP184:BR184"/>
    <mergeCell ref="BS184:BU184"/>
    <mergeCell ref="H185:H186"/>
    <mergeCell ref="I185:I186"/>
    <mergeCell ref="J185:J186"/>
    <mergeCell ref="K185:K186"/>
    <mergeCell ref="L185:L186"/>
    <mergeCell ref="M185:M186"/>
    <mergeCell ref="P185:Q185"/>
    <mergeCell ref="R185:S185"/>
    <mergeCell ref="T185:U185"/>
    <mergeCell ref="V185:W185"/>
    <mergeCell ref="X185:Y185"/>
    <mergeCell ref="Z185:AA185"/>
    <mergeCell ref="AB185:AC185"/>
    <mergeCell ref="AD185:AE185"/>
    <mergeCell ref="AF185:AG185"/>
    <mergeCell ref="AH185:AI185"/>
    <mergeCell ref="AJ185:AK185"/>
    <mergeCell ref="AL185:AM185"/>
    <mergeCell ref="AN185:AO185"/>
    <mergeCell ref="AP185:AQ185"/>
    <mergeCell ref="AR185:AS185"/>
    <mergeCell ref="AT185:AU185"/>
    <mergeCell ref="AV185:AW185"/>
    <mergeCell ref="AX185:AY185"/>
    <mergeCell ref="AZ185:BA185"/>
    <mergeCell ref="BB185:BC185"/>
    <mergeCell ref="BD185:BE185"/>
    <mergeCell ref="BF185:BG185"/>
    <mergeCell ref="BH185:BI185"/>
    <mergeCell ref="BJ185:BK185"/>
    <mergeCell ref="BN185:BN186"/>
    <mergeCell ref="BO185:BO186"/>
    <mergeCell ref="BP185:BP186"/>
    <mergeCell ref="BQ185:BQ186"/>
    <mergeCell ref="BR185:BR186"/>
    <mergeCell ref="BS185:BS186"/>
    <mergeCell ref="BT185:BT186"/>
    <mergeCell ref="BU185:BU186"/>
    <mergeCell ref="H187:M187"/>
    <mergeCell ref="P187:AA187"/>
    <mergeCell ref="AB187:AM187"/>
    <mergeCell ref="AN187:AY187"/>
    <mergeCell ref="AZ187:BK187"/>
    <mergeCell ref="BL187:BO187"/>
    <mergeCell ref="BP187:BR187"/>
    <mergeCell ref="BS187:BU187"/>
    <mergeCell ref="A194:B194"/>
    <mergeCell ref="A205:A208"/>
    <mergeCell ref="B205:B208"/>
    <mergeCell ref="C205:C208"/>
    <mergeCell ref="D205:D208"/>
    <mergeCell ref="E205:E208"/>
    <mergeCell ref="F205:F208"/>
    <mergeCell ref="G205:G208"/>
    <mergeCell ref="H205:L205"/>
    <mergeCell ref="O205:O208"/>
    <mergeCell ref="P205:AA205"/>
    <mergeCell ref="AB205:AM205"/>
    <mergeCell ref="AN205:AY205"/>
    <mergeCell ref="AZ205:BK205"/>
    <mergeCell ref="BL205:BO205"/>
    <mergeCell ref="BP205:BR205"/>
    <mergeCell ref="BS205:BU205"/>
    <mergeCell ref="H206:I206"/>
    <mergeCell ref="J206:K206"/>
    <mergeCell ref="L206:M206"/>
    <mergeCell ref="N206:N208"/>
    <mergeCell ref="P206:S206"/>
    <mergeCell ref="T206:W206"/>
    <mergeCell ref="X206:AA206"/>
    <mergeCell ref="AB206:AE206"/>
    <mergeCell ref="AF206:AI206"/>
    <mergeCell ref="AJ206:AM206"/>
    <mergeCell ref="AN206:AQ206"/>
    <mergeCell ref="AR206:AU206"/>
    <mergeCell ref="AV206:AY206"/>
    <mergeCell ref="AZ206:BC206"/>
    <mergeCell ref="BD206:BG206"/>
    <mergeCell ref="BH206:BK206"/>
    <mergeCell ref="BL206:BO206"/>
    <mergeCell ref="BP206:BR206"/>
    <mergeCell ref="BS206:BU206"/>
    <mergeCell ref="H207:H208"/>
    <mergeCell ref="I207:I208"/>
    <mergeCell ref="J207:J208"/>
    <mergeCell ref="K207:K208"/>
    <mergeCell ref="L207:L208"/>
    <mergeCell ref="M207:M208"/>
    <mergeCell ref="P207:Q207"/>
    <mergeCell ref="R207:S207"/>
    <mergeCell ref="T207:U207"/>
    <mergeCell ref="V207:W207"/>
    <mergeCell ref="X207:Y207"/>
    <mergeCell ref="Z207:AA207"/>
    <mergeCell ref="AB207:AC207"/>
    <mergeCell ref="AD207:AE207"/>
    <mergeCell ref="AF207:AG207"/>
    <mergeCell ref="AH207:AI207"/>
    <mergeCell ref="AJ207:AK207"/>
    <mergeCell ref="AL207:AM207"/>
    <mergeCell ref="AN207:AO207"/>
    <mergeCell ref="AP207:AQ207"/>
    <mergeCell ref="AR207:AS207"/>
    <mergeCell ref="AT207:AU207"/>
    <mergeCell ref="AV207:AW207"/>
    <mergeCell ref="AX207:AY207"/>
    <mergeCell ref="AZ207:BA207"/>
    <mergeCell ref="BB207:BC207"/>
    <mergeCell ref="BD207:BE207"/>
    <mergeCell ref="BF207:BG207"/>
    <mergeCell ref="BH207:BI207"/>
    <mergeCell ref="BJ207:BK207"/>
    <mergeCell ref="BN207:BN208"/>
    <mergeCell ref="BO207:BO208"/>
    <mergeCell ref="BP207:BP208"/>
    <mergeCell ref="BQ207:BQ208"/>
    <mergeCell ref="BR207:BR208"/>
    <mergeCell ref="BS207:BS208"/>
    <mergeCell ref="BT207:BT208"/>
    <mergeCell ref="BU207:BU208"/>
    <mergeCell ref="H209:M209"/>
    <mergeCell ref="P209:AA209"/>
    <mergeCell ref="AB209:AM209"/>
    <mergeCell ref="AN209:AY209"/>
    <mergeCell ref="AZ209:BK209"/>
    <mergeCell ref="BL209:BO209"/>
    <mergeCell ref="BP209:BR209"/>
    <mergeCell ref="BS209:BU209"/>
    <mergeCell ref="A216:B216"/>
    <mergeCell ref="A227:A230"/>
    <mergeCell ref="B227:B230"/>
    <mergeCell ref="C227:C230"/>
    <mergeCell ref="D227:D230"/>
    <mergeCell ref="E227:E230"/>
    <mergeCell ref="F227:F230"/>
    <mergeCell ref="G227:G230"/>
    <mergeCell ref="H227:L227"/>
    <mergeCell ref="O227:O230"/>
    <mergeCell ref="P227:AA227"/>
    <mergeCell ref="AB227:AM227"/>
    <mergeCell ref="AN227:AY227"/>
    <mergeCell ref="AZ227:BK227"/>
    <mergeCell ref="BL227:BO227"/>
    <mergeCell ref="BP227:BR227"/>
    <mergeCell ref="BS227:BU227"/>
    <mergeCell ref="H228:I228"/>
    <mergeCell ref="J228:K228"/>
    <mergeCell ref="L228:M228"/>
    <mergeCell ref="N228:N230"/>
    <mergeCell ref="P228:S228"/>
    <mergeCell ref="T228:W228"/>
    <mergeCell ref="X228:AA228"/>
    <mergeCell ref="AB228:AE228"/>
    <mergeCell ref="AF228:AI228"/>
    <mergeCell ref="AJ228:AM228"/>
    <mergeCell ref="AN228:AQ228"/>
    <mergeCell ref="AR228:AU228"/>
    <mergeCell ref="AV228:AY228"/>
    <mergeCell ref="AZ228:BC228"/>
    <mergeCell ref="BD228:BG228"/>
    <mergeCell ref="BH228:BK228"/>
    <mergeCell ref="BL228:BO228"/>
    <mergeCell ref="BP228:BR228"/>
    <mergeCell ref="BS228:BU228"/>
    <mergeCell ref="H229:H230"/>
    <mergeCell ref="I229:I230"/>
    <mergeCell ref="J229:J230"/>
    <mergeCell ref="K229:K230"/>
    <mergeCell ref="L229:L230"/>
    <mergeCell ref="M229:M230"/>
    <mergeCell ref="P229:Q229"/>
    <mergeCell ref="R229:S229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AJ229:AK229"/>
    <mergeCell ref="AL229:AM229"/>
    <mergeCell ref="AN229:AO229"/>
    <mergeCell ref="AP229:AQ229"/>
    <mergeCell ref="AR229:AS229"/>
    <mergeCell ref="AT229:AU229"/>
    <mergeCell ref="AV229:AW229"/>
    <mergeCell ref="AX229:AY229"/>
    <mergeCell ref="AZ229:BA229"/>
    <mergeCell ref="BB229:BC229"/>
    <mergeCell ref="BD229:BE229"/>
    <mergeCell ref="BF229:BG229"/>
    <mergeCell ref="BH229:BI229"/>
    <mergeCell ref="BJ229:BK229"/>
    <mergeCell ref="BN229:BN230"/>
    <mergeCell ref="BO229:BO230"/>
    <mergeCell ref="BP229:BP230"/>
    <mergeCell ref="BQ229:BQ230"/>
    <mergeCell ref="BR229:BR230"/>
    <mergeCell ref="BS229:BS230"/>
    <mergeCell ref="BT229:BT230"/>
    <mergeCell ref="BU229:BU230"/>
    <mergeCell ref="H231:M231"/>
    <mergeCell ref="P231:AA231"/>
    <mergeCell ref="AB231:AM231"/>
    <mergeCell ref="AN231:AY231"/>
    <mergeCell ref="AZ231:BK231"/>
    <mergeCell ref="BL231:BO231"/>
    <mergeCell ref="BP231:BR231"/>
    <mergeCell ref="BS231:BU231"/>
    <mergeCell ref="A238:B238"/>
    <mergeCell ref="A249:A252"/>
    <mergeCell ref="B249:B252"/>
    <mergeCell ref="C249:C252"/>
    <mergeCell ref="D249:D252"/>
    <mergeCell ref="E249:E252"/>
    <mergeCell ref="F249:F252"/>
    <mergeCell ref="G249:G252"/>
    <mergeCell ref="H249:L249"/>
    <mergeCell ref="O249:O252"/>
    <mergeCell ref="P249:AA249"/>
    <mergeCell ref="AB249:AM249"/>
    <mergeCell ref="AN249:AY249"/>
    <mergeCell ref="AZ249:BK249"/>
    <mergeCell ref="BL249:BO249"/>
    <mergeCell ref="BP249:BR249"/>
    <mergeCell ref="BS249:BU249"/>
    <mergeCell ref="H250:I250"/>
    <mergeCell ref="J250:K250"/>
    <mergeCell ref="L250:M250"/>
    <mergeCell ref="N250:N252"/>
    <mergeCell ref="P250:S250"/>
    <mergeCell ref="T250:W250"/>
    <mergeCell ref="X250:AA250"/>
    <mergeCell ref="AB250:AE250"/>
    <mergeCell ref="AF250:AI250"/>
    <mergeCell ref="AJ250:AM250"/>
    <mergeCell ref="AN250:AQ250"/>
    <mergeCell ref="AR250:AU250"/>
    <mergeCell ref="AV250:AY250"/>
    <mergeCell ref="AZ250:BC250"/>
    <mergeCell ref="BD250:BG250"/>
    <mergeCell ref="BH250:BK250"/>
    <mergeCell ref="BL250:BO250"/>
    <mergeCell ref="BP250:BR250"/>
    <mergeCell ref="BS250:BU250"/>
    <mergeCell ref="H251:H252"/>
    <mergeCell ref="I251:I252"/>
    <mergeCell ref="J251:J252"/>
    <mergeCell ref="K251:K252"/>
    <mergeCell ref="L251:L252"/>
    <mergeCell ref="M251:M252"/>
    <mergeCell ref="P251:Q251"/>
    <mergeCell ref="R251:S251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AJ251:AK251"/>
    <mergeCell ref="AL251:AM251"/>
    <mergeCell ref="AN251:AO251"/>
    <mergeCell ref="AP251:AQ251"/>
    <mergeCell ref="AR251:AS251"/>
    <mergeCell ref="AT251:AU251"/>
    <mergeCell ref="AV251:AW251"/>
    <mergeCell ref="AX251:AY251"/>
    <mergeCell ref="AZ251:BA251"/>
    <mergeCell ref="BB251:BC251"/>
    <mergeCell ref="BD251:BE251"/>
    <mergeCell ref="BF251:BG251"/>
    <mergeCell ref="BH251:BI251"/>
    <mergeCell ref="BJ251:BK251"/>
    <mergeCell ref="BN251:BN252"/>
    <mergeCell ref="BO251:BO252"/>
    <mergeCell ref="BP251:BP252"/>
    <mergeCell ref="BQ251:BQ252"/>
    <mergeCell ref="BR251:BR252"/>
    <mergeCell ref="BS251:BS252"/>
    <mergeCell ref="BT251:BT252"/>
    <mergeCell ref="BU251:BU252"/>
    <mergeCell ref="H253:M253"/>
    <mergeCell ref="P253:AA253"/>
    <mergeCell ref="AB253:AM253"/>
    <mergeCell ref="AN253:AY253"/>
    <mergeCell ref="AZ253:BK253"/>
    <mergeCell ref="BL253:BO253"/>
    <mergeCell ref="BP253:BR253"/>
    <mergeCell ref="BS253:BU253"/>
    <mergeCell ref="A260:B260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Z261"/>
  <sheetViews>
    <sheetView showFormulas="false" showGridLines="true" showRowColHeaders="true" showZeros="true" rightToLeft="false" tabSelected="false" showOutlineSymbols="true" defaultGridColor="true" view="pageBreakPreview" topLeftCell="A135" colorId="64" zoomScale="65" zoomScaleNormal="70" zoomScalePageLayoutView="65" workbookViewId="0">
      <pane xSplit="9" ySplit="0" topLeftCell="AB135" activePane="topRight" state="frozen"/>
      <selection pane="topLeft" activeCell="A135" activeCellId="0" sqref="A135"/>
      <selection pane="topRight" activeCell="AU167" activeCellId="1" sqref="A155:O168 AU167"/>
    </sheetView>
  </sheetViews>
  <sheetFormatPr defaultColWidth="9.14453125" defaultRowHeight="15.75" customHeight="false" zeroHeight="false" outlineLevelRow="0" outlineLevelCol="0"/>
  <cols>
    <col collapsed="false" customWidth="true" hidden="false" outlineLevel="0" max="1" min="1" style="1" width="4.43"/>
    <col collapsed="false" customWidth="true" hidden="false" outlineLevel="0" max="2" min="2" style="1" width="28.14"/>
    <col collapsed="false" customWidth="true" hidden="false" outlineLevel="0" max="8" min="3" style="1" width="7.15"/>
    <col collapsed="false" customWidth="true" hidden="false" outlineLevel="0" max="9" min="9" style="1" width="9.44"/>
    <col collapsed="false" customWidth="true" hidden="false" outlineLevel="0" max="37" min="10" style="1" width="7.57"/>
    <col collapsed="false" customWidth="true" hidden="false" outlineLevel="0" max="40" min="38" style="1" width="8.86"/>
    <col collapsed="false" customWidth="true" hidden="false" outlineLevel="0" max="41" min="41" style="1" width="10.14"/>
    <col collapsed="false" customWidth="true" hidden="false" outlineLevel="0" max="42" min="42" style="1" width="9.56"/>
    <col collapsed="false" customWidth="true" hidden="false" outlineLevel="0" max="43" min="43" style="1" width="9.44"/>
    <col collapsed="false" customWidth="true" hidden="false" outlineLevel="0" max="44" min="44" style="1" width="7.57"/>
    <col collapsed="false" customWidth="true" hidden="false" outlineLevel="0" max="47" min="45" style="1" width="9.86"/>
    <col collapsed="false" customWidth="true" hidden="false" outlineLevel="0" max="48" min="48" style="1" width="16"/>
    <col collapsed="false" customWidth="true" hidden="false" outlineLevel="0" max="49" min="49" style="1" width="9.86"/>
    <col collapsed="false" customWidth="false" hidden="false" outlineLevel="0" max="16384" min="50" style="1" width="9.14"/>
  </cols>
  <sheetData>
    <row r="1" customFormat="false" ht="15.75" hidden="false" customHeight="false" outlineLevel="0" collapsed="false">
      <c r="A1" s="2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customFormat="false" ht="15.7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customFormat="false" ht="15.75" hidden="false" customHeight="false" outlineLevel="0" collapsed="false">
      <c r="A3" s="3" t="s">
        <v>67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customFormat="false" ht="15.75" hidden="false" customHeight="false" outlineLevel="0" collapsed="false">
      <c r="A4" s="3" t="s">
        <v>3</v>
      </c>
      <c r="B4" s="4" t="s">
        <v>68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customFormat="false" ht="15.75" hidden="false" customHeight="false" outlineLevel="0" collapsed="false">
      <c r="A5" s="3" t="s">
        <v>69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customFormat="false" ht="15.75" hidden="false" customHeight="false" outlineLevel="0" collapsed="false">
      <c r="A6" s="4"/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customFormat="false" ht="22.5" hidden="false" customHeight="true" outlineLevel="0" collapsed="false">
      <c r="A7" s="7" t="s">
        <v>7</v>
      </c>
      <c r="B7" s="8" t="s">
        <v>8</v>
      </c>
      <c r="C7" s="10" t="s">
        <v>14</v>
      </c>
      <c r="D7" s="10"/>
      <c r="E7" s="10"/>
      <c r="F7" s="10"/>
      <c r="G7" s="10"/>
      <c r="H7" s="11"/>
      <c r="I7" s="11"/>
      <c r="J7" s="7" t="s">
        <v>70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8" t="s">
        <v>71</v>
      </c>
      <c r="AM7" s="8"/>
      <c r="AN7" s="8"/>
      <c r="AO7" s="7" t="s">
        <v>72</v>
      </c>
      <c r="AP7" s="7"/>
      <c r="AQ7" s="7"/>
      <c r="AR7" s="7" t="s">
        <v>73</v>
      </c>
      <c r="AS7" s="7"/>
      <c r="AT7" s="7"/>
      <c r="AU7" s="8" t="s">
        <v>74</v>
      </c>
      <c r="AV7" s="8" t="s">
        <v>75</v>
      </c>
      <c r="AW7" s="8" t="s">
        <v>76</v>
      </c>
      <c r="AX7" s="8" t="s">
        <v>77</v>
      </c>
      <c r="AY7" s="59" t="s">
        <v>78</v>
      </c>
    </row>
    <row r="8" customFormat="false" ht="15" hidden="false" customHeight="true" outlineLevel="0" collapsed="false">
      <c r="A8" s="7"/>
      <c r="B8" s="8"/>
      <c r="C8" s="7" t="s">
        <v>22</v>
      </c>
      <c r="D8" s="7"/>
      <c r="E8" s="7" t="s">
        <v>23</v>
      </c>
      <c r="F8" s="7"/>
      <c r="G8" s="7" t="s">
        <v>24</v>
      </c>
      <c r="H8" s="7"/>
      <c r="I8" s="8" t="s">
        <v>25</v>
      </c>
      <c r="J8" s="8" t="s">
        <v>79</v>
      </c>
      <c r="K8" s="8"/>
      <c r="L8" s="7" t="s">
        <v>80</v>
      </c>
      <c r="M8" s="7"/>
      <c r="N8" s="7"/>
      <c r="O8" s="7"/>
      <c r="P8" s="7" t="s">
        <v>81</v>
      </c>
      <c r="Q8" s="7"/>
      <c r="R8" s="7"/>
      <c r="S8" s="7"/>
      <c r="T8" s="8" t="s">
        <v>82</v>
      </c>
      <c r="U8" s="8"/>
      <c r="V8" s="8" t="s">
        <v>83</v>
      </c>
      <c r="W8" s="8"/>
      <c r="X8" s="8" t="s">
        <v>84</v>
      </c>
      <c r="Y8" s="8"/>
      <c r="Z8" s="8" t="s">
        <v>85</v>
      </c>
      <c r="AA8" s="8"/>
      <c r="AB8" s="8" t="s">
        <v>86</v>
      </c>
      <c r="AC8" s="8"/>
      <c r="AD8" s="8" t="s">
        <v>87</v>
      </c>
      <c r="AE8" s="8"/>
      <c r="AF8" s="8" t="s">
        <v>88</v>
      </c>
      <c r="AG8" s="8"/>
      <c r="AH8" s="8" t="s">
        <v>89</v>
      </c>
      <c r="AI8" s="8"/>
      <c r="AJ8" s="8" t="s">
        <v>90</v>
      </c>
      <c r="AK8" s="8"/>
      <c r="AL8" s="8"/>
      <c r="AM8" s="8"/>
      <c r="AN8" s="8"/>
      <c r="AO8" s="7" t="s">
        <v>91</v>
      </c>
      <c r="AP8" s="7" t="s">
        <v>92</v>
      </c>
      <c r="AQ8" s="7" t="s">
        <v>93</v>
      </c>
      <c r="AR8" s="7"/>
      <c r="AS8" s="7"/>
      <c r="AT8" s="7"/>
      <c r="AU8" s="8"/>
      <c r="AV8" s="8"/>
      <c r="AW8" s="8"/>
      <c r="AX8" s="8"/>
      <c r="AY8" s="59"/>
    </row>
    <row r="9" customFormat="false" ht="27" hidden="false" customHeight="true" outlineLevel="0" collapsed="false">
      <c r="A9" s="7"/>
      <c r="B9" s="8"/>
      <c r="C9" s="7" t="s">
        <v>29</v>
      </c>
      <c r="D9" s="7" t="s">
        <v>30</v>
      </c>
      <c r="E9" s="7" t="s">
        <v>29</v>
      </c>
      <c r="F9" s="7" t="s">
        <v>30</v>
      </c>
      <c r="G9" s="7" t="s">
        <v>29</v>
      </c>
      <c r="H9" s="7" t="s">
        <v>30</v>
      </c>
      <c r="I9" s="8"/>
      <c r="J9" s="8"/>
      <c r="K9" s="8"/>
      <c r="L9" s="7" t="s">
        <v>29</v>
      </c>
      <c r="M9" s="7"/>
      <c r="N9" s="7" t="s">
        <v>94</v>
      </c>
      <c r="O9" s="7"/>
      <c r="P9" s="7" t="s">
        <v>95</v>
      </c>
      <c r="Q9" s="7"/>
      <c r="R9" s="7" t="s">
        <v>96</v>
      </c>
      <c r="S9" s="7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7"/>
      <c r="AP9" s="7"/>
      <c r="AQ9" s="7"/>
      <c r="AR9" s="60" t="s">
        <v>97</v>
      </c>
      <c r="AS9" s="60" t="s">
        <v>98</v>
      </c>
      <c r="AT9" s="60" t="s">
        <v>99</v>
      </c>
      <c r="AU9" s="8"/>
      <c r="AV9" s="8"/>
      <c r="AW9" s="8"/>
      <c r="AX9" s="8"/>
      <c r="AY9" s="59"/>
    </row>
    <row r="10" customFormat="false" ht="60.75" hidden="false" customHeight="true" outlineLevel="0" collapsed="false">
      <c r="A10" s="7"/>
      <c r="B10" s="8"/>
      <c r="C10" s="7"/>
      <c r="D10" s="7"/>
      <c r="E10" s="7"/>
      <c r="F10" s="7"/>
      <c r="G10" s="7"/>
      <c r="H10" s="7"/>
      <c r="I10" s="8"/>
      <c r="J10" s="8" t="s">
        <v>29</v>
      </c>
      <c r="K10" s="8" t="s">
        <v>30</v>
      </c>
      <c r="L10" s="8" t="s">
        <v>29</v>
      </c>
      <c r="M10" s="8" t="s">
        <v>30</v>
      </c>
      <c r="N10" s="8" t="s">
        <v>29</v>
      </c>
      <c r="O10" s="8" t="s">
        <v>30</v>
      </c>
      <c r="P10" s="8" t="s">
        <v>29</v>
      </c>
      <c r="Q10" s="8" t="s">
        <v>30</v>
      </c>
      <c r="R10" s="8" t="s">
        <v>29</v>
      </c>
      <c r="S10" s="8" t="s">
        <v>30</v>
      </c>
      <c r="T10" s="8" t="s">
        <v>29</v>
      </c>
      <c r="U10" s="8" t="s">
        <v>30</v>
      </c>
      <c r="V10" s="8" t="s">
        <v>29</v>
      </c>
      <c r="W10" s="8" t="s">
        <v>30</v>
      </c>
      <c r="X10" s="8" t="s">
        <v>29</v>
      </c>
      <c r="Y10" s="8" t="s">
        <v>30</v>
      </c>
      <c r="Z10" s="8" t="s">
        <v>29</v>
      </c>
      <c r="AA10" s="8" t="s">
        <v>30</v>
      </c>
      <c r="AB10" s="8" t="s">
        <v>29</v>
      </c>
      <c r="AC10" s="8" t="s">
        <v>30</v>
      </c>
      <c r="AD10" s="8" t="s">
        <v>29</v>
      </c>
      <c r="AE10" s="8" t="s">
        <v>30</v>
      </c>
      <c r="AF10" s="8" t="s">
        <v>29</v>
      </c>
      <c r="AG10" s="8" t="s">
        <v>30</v>
      </c>
      <c r="AH10" s="8" t="s">
        <v>29</v>
      </c>
      <c r="AI10" s="8" t="s">
        <v>30</v>
      </c>
      <c r="AJ10" s="8" t="s">
        <v>29</v>
      </c>
      <c r="AK10" s="8" t="s">
        <v>30</v>
      </c>
      <c r="AL10" s="8" t="s">
        <v>29</v>
      </c>
      <c r="AM10" s="8" t="s">
        <v>30</v>
      </c>
      <c r="AN10" s="8" t="s">
        <v>31</v>
      </c>
      <c r="AO10" s="7"/>
      <c r="AP10" s="7"/>
      <c r="AQ10" s="7"/>
      <c r="AR10" s="60"/>
      <c r="AS10" s="60"/>
      <c r="AT10" s="60"/>
      <c r="AU10" s="8"/>
      <c r="AV10" s="8"/>
      <c r="AW10" s="8"/>
      <c r="AX10" s="8"/>
      <c r="AY10" s="59"/>
    </row>
    <row r="11" s="26" customFormat="true" ht="13.5" hidden="false" customHeight="true" outlineLevel="0" collapsed="false">
      <c r="A11" s="22" t="n">
        <v>1</v>
      </c>
      <c r="B11" s="23" t="n">
        <v>2</v>
      </c>
      <c r="C11" s="24" t="n">
        <v>3</v>
      </c>
      <c r="D11" s="24"/>
      <c r="E11" s="24"/>
      <c r="F11" s="24"/>
      <c r="G11" s="24"/>
      <c r="H11" s="24"/>
      <c r="I11" s="61" t="n">
        <v>4</v>
      </c>
      <c r="J11" s="24" t="n">
        <v>5</v>
      </c>
      <c r="K11" s="24"/>
      <c r="L11" s="24" t="n">
        <v>6</v>
      </c>
      <c r="M11" s="24"/>
      <c r="N11" s="24"/>
      <c r="O11" s="24"/>
      <c r="P11" s="24" t="n">
        <v>7</v>
      </c>
      <c r="Q11" s="24"/>
      <c r="R11" s="24"/>
      <c r="S11" s="24"/>
      <c r="T11" s="24" t="n">
        <v>8</v>
      </c>
      <c r="U11" s="24"/>
      <c r="V11" s="24" t="n">
        <v>9</v>
      </c>
      <c r="W11" s="24"/>
      <c r="X11" s="24" t="n">
        <f aca="false">+V11+1</f>
        <v>10</v>
      </c>
      <c r="Y11" s="24"/>
      <c r="Z11" s="24" t="n">
        <f aca="false">+X11+1</f>
        <v>11</v>
      </c>
      <c r="AA11" s="24"/>
      <c r="AB11" s="24" t="n">
        <f aca="false">+Z11+1</f>
        <v>12</v>
      </c>
      <c r="AC11" s="24"/>
      <c r="AD11" s="24" t="n">
        <f aca="false">+AB11+1</f>
        <v>13</v>
      </c>
      <c r="AE11" s="24"/>
      <c r="AF11" s="24" t="n">
        <f aca="false">+AD11+1</f>
        <v>14</v>
      </c>
      <c r="AG11" s="24"/>
      <c r="AH11" s="24" t="n">
        <f aca="false">+AF11+1</f>
        <v>15</v>
      </c>
      <c r="AI11" s="24"/>
      <c r="AJ11" s="24" t="n">
        <f aca="false">+AH11+1</f>
        <v>16</v>
      </c>
      <c r="AK11" s="24"/>
      <c r="AL11" s="24" t="n">
        <f aca="false">+AJ11+1</f>
        <v>17</v>
      </c>
      <c r="AM11" s="24"/>
      <c r="AN11" s="24"/>
      <c r="AO11" s="23" t="n">
        <v>18</v>
      </c>
      <c r="AP11" s="23"/>
      <c r="AQ11" s="23"/>
      <c r="AR11" s="62" t="n">
        <v>19</v>
      </c>
      <c r="AS11" s="62"/>
      <c r="AT11" s="62"/>
      <c r="AU11" s="63" t="n">
        <v>20</v>
      </c>
      <c r="AV11" s="24" t="n">
        <v>21</v>
      </c>
      <c r="AW11" s="24" t="n">
        <v>22</v>
      </c>
      <c r="AX11" s="24" t="n">
        <v>23</v>
      </c>
      <c r="AY11" s="23" t="n">
        <v>24</v>
      </c>
      <c r="AZ11" s="64"/>
    </row>
    <row r="12" s="41" customFormat="true" ht="32.25" hidden="false" customHeight="true" outlineLevel="0" collapsed="false">
      <c r="A12" s="27" t="n">
        <v>1</v>
      </c>
      <c r="B12" s="28" t="s">
        <v>42</v>
      </c>
      <c r="C12" s="29" t="n">
        <v>443</v>
      </c>
      <c r="D12" s="29" t="n">
        <v>437</v>
      </c>
      <c r="E12" s="30" t="n">
        <v>272</v>
      </c>
      <c r="F12" s="30" t="n">
        <v>276</v>
      </c>
      <c r="G12" s="30" t="n">
        <v>17</v>
      </c>
      <c r="H12" s="30" t="n">
        <v>18</v>
      </c>
      <c r="I12" s="31" t="n">
        <f aca="false">E12+F12+G12+H12</f>
        <v>583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2</v>
      </c>
      <c r="S12" s="10" t="n">
        <v>3</v>
      </c>
      <c r="T12" s="10"/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2</v>
      </c>
      <c r="Z12" s="10" t="n">
        <v>0</v>
      </c>
      <c r="AA12" s="10" t="n">
        <v>0</v>
      </c>
      <c r="AB12" s="10"/>
      <c r="AC12" s="10"/>
      <c r="AD12" s="10"/>
      <c r="AE12" s="10"/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21" t="n">
        <f aca="false">J12+L12+N12+P12+R12+T12+V12+X12+Z12+AB12+AD12+AF12+AH12+AJ12</f>
        <v>2</v>
      </c>
      <c r="AM12" s="21" t="n">
        <f aca="false">J12+L12+N12+P12+R12+T12+V12+X12+Z12+AB12+AD12+AF12+AH12+AJ12</f>
        <v>2</v>
      </c>
      <c r="AN12" s="21" t="n">
        <f aca="false">AL12+AM12</f>
        <v>4</v>
      </c>
      <c r="AO12" s="10" t="n">
        <v>62</v>
      </c>
      <c r="AP12" s="10" t="n">
        <v>62</v>
      </c>
      <c r="AQ12" s="10" t="n">
        <v>5</v>
      </c>
      <c r="AR12" s="65" t="n">
        <v>60</v>
      </c>
      <c r="AS12" s="65" t="n">
        <v>0</v>
      </c>
      <c r="AT12" s="65" t="n">
        <v>0</v>
      </c>
      <c r="AU12" s="10" t="n">
        <v>60</v>
      </c>
      <c r="AV12" s="10" t="n">
        <v>28</v>
      </c>
      <c r="AW12" s="10" t="n">
        <v>0</v>
      </c>
      <c r="AX12" s="10" t="n">
        <v>0</v>
      </c>
      <c r="AY12" s="66" t="n">
        <v>0</v>
      </c>
    </row>
    <row r="13" s="41" customFormat="true" ht="32.25" hidden="false" customHeight="true" outlineLevel="0" collapsed="false">
      <c r="A13" s="27" t="n">
        <v>2</v>
      </c>
      <c r="B13" s="28" t="s">
        <v>43</v>
      </c>
      <c r="C13" s="29" t="n">
        <v>255</v>
      </c>
      <c r="D13" s="29" t="n">
        <v>252</v>
      </c>
      <c r="E13" s="30" t="n">
        <v>163</v>
      </c>
      <c r="F13" s="30" t="n">
        <v>169</v>
      </c>
      <c r="G13" s="30" t="n">
        <v>64</v>
      </c>
      <c r="H13" s="30" t="n">
        <v>63</v>
      </c>
      <c r="I13" s="31" t="n">
        <f aca="false">E13+F13+G13+H13</f>
        <v>459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/>
      <c r="U13" s="10"/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/>
      <c r="AC13" s="10"/>
      <c r="AD13" s="10"/>
      <c r="AE13" s="10"/>
      <c r="AF13" s="10" t="n">
        <v>0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0</v>
      </c>
      <c r="AL13" s="21" t="n">
        <f aca="false">J13+L13+N13+P13+R13+T13+V13+X13+Z13+AB13+AD13+AF13+AH13+AJ13</f>
        <v>0</v>
      </c>
      <c r="AM13" s="21" t="n">
        <f aca="false">J13+L13+N13+P13+R13+T13+V13+X13+Z13+AB13+AD13+AF13+AH13+AJ13</f>
        <v>0</v>
      </c>
      <c r="AN13" s="21" t="n">
        <f aca="false">AL13+AM13</f>
        <v>0</v>
      </c>
      <c r="AO13" s="10" t="n">
        <v>66</v>
      </c>
      <c r="AP13" s="10" t="n">
        <v>66</v>
      </c>
      <c r="AQ13" s="10" t="n">
        <v>4</v>
      </c>
      <c r="AR13" s="10" t="n">
        <v>68</v>
      </c>
      <c r="AS13" s="10" t="n">
        <v>0</v>
      </c>
      <c r="AT13" s="10" t="n">
        <v>0</v>
      </c>
      <c r="AU13" s="10" t="n">
        <v>66</v>
      </c>
      <c r="AV13" s="10" t="n">
        <v>20</v>
      </c>
      <c r="AW13" s="10" t="n">
        <v>0</v>
      </c>
      <c r="AX13" s="10" t="n">
        <v>0</v>
      </c>
      <c r="AY13" s="66" t="n">
        <v>0</v>
      </c>
    </row>
    <row r="14" s="41" customFormat="true" ht="32.25" hidden="false" customHeight="true" outlineLevel="0" collapsed="false">
      <c r="A14" s="27" t="n">
        <v>3</v>
      </c>
      <c r="B14" s="28" t="s">
        <v>100</v>
      </c>
      <c r="C14" s="29" t="n">
        <v>315</v>
      </c>
      <c r="D14" s="29" t="n">
        <v>312</v>
      </c>
      <c r="E14" s="30" t="n">
        <v>198</v>
      </c>
      <c r="F14" s="30" t="n">
        <v>202</v>
      </c>
      <c r="G14" s="30" t="n">
        <v>52</v>
      </c>
      <c r="H14" s="30" t="n">
        <v>55</v>
      </c>
      <c r="I14" s="31" t="n">
        <f aca="false">E14+F14+G14+H14</f>
        <v>507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1</v>
      </c>
      <c r="Q14" s="10" t="n">
        <v>3</v>
      </c>
      <c r="R14" s="10" t="n">
        <v>0</v>
      </c>
      <c r="S14" s="10" t="n">
        <v>0</v>
      </c>
      <c r="T14" s="10"/>
      <c r="U14" s="10"/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/>
      <c r="AC14" s="10"/>
      <c r="AD14" s="10"/>
      <c r="AE14" s="10"/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21" t="n">
        <f aca="false">J14+L14+N14+P14+R14+T14+V14+X14+Z14+AB14+AD14+AF14+AH14+AJ14</f>
        <v>1</v>
      </c>
      <c r="AM14" s="21" t="n">
        <f aca="false">J14+L14+N14+P14+R14+T14+V14+X14+Z14+AB14+AD14+AF14+AH14+AJ14</f>
        <v>1</v>
      </c>
      <c r="AN14" s="21" t="n">
        <f aca="false">AL14+AM14</f>
        <v>2</v>
      </c>
      <c r="AO14" s="10" t="n">
        <v>76</v>
      </c>
      <c r="AP14" s="10" t="n">
        <v>76</v>
      </c>
      <c r="AQ14" s="10" t="n">
        <v>5</v>
      </c>
      <c r="AR14" s="10" t="n">
        <v>16</v>
      </c>
      <c r="AS14" s="10" t="n">
        <v>0</v>
      </c>
      <c r="AT14" s="10" t="n">
        <v>0</v>
      </c>
      <c r="AU14" s="10" t="n">
        <v>16</v>
      </c>
      <c r="AV14" s="10" t="n">
        <v>12</v>
      </c>
      <c r="AW14" s="10" t="n">
        <v>0</v>
      </c>
      <c r="AX14" s="10" t="n">
        <v>0</v>
      </c>
      <c r="AY14" s="59" t="n">
        <v>0</v>
      </c>
    </row>
    <row r="15" s="41" customFormat="true" ht="32.25" hidden="false" customHeight="true" outlineLevel="0" collapsed="false">
      <c r="A15" s="27" t="n">
        <v>4</v>
      </c>
      <c r="B15" s="28" t="s">
        <v>101</v>
      </c>
      <c r="C15" s="29" t="n">
        <v>201</v>
      </c>
      <c r="D15" s="29" t="n">
        <v>199</v>
      </c>
      <c r="E15" s="30" t="n">
        <v>121</v>
      </c>
      <c r="F15" s="30" t="n">
        <v>125</v>
      </c>
      <c r="G15" s="30" t="n">
        <v>26</v>
      </c>
      <c r="H15" s="30" t="n">
        <v>33</v>
      </c>
      <c r="I15" s="31" t="n">
        <f aca="false">E15+F15+G15+H15</f>
        <v>305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/>
      <c r="U15" s="10"/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0</v>
      </c>
      <c r="AA15" s="10" t="n">
        <v>0</v>
      </c>
      <c r="AB15" s="10"/>
      <c r="AC15" s="10"/>
      <c r="AD15" s="10"/>
      <c r="AE15" s="10"/>
      <c r="AF15" s="10" t="n">
        <v>0</v>
      </c>
      <c r="AG15" s="10" t="n">
        <v>0</v>
      </c>
      <c r="AH15" s="10" t="n">
        <v>0</v>
      </c>
      <c r="AI15" s="10" t="n">
        <v>0</v>
      </c>
      <c r="AJ15" s="10" t="n">
        <v>0</v>
      </c>
      <c r="AK15" s="10" t="n">
        <v>0</v>
      </c>
      <c r="AL15" s="21" t="n">
        <f aca="false">J15+L15+N15+P15+R15+T15+V15+X15+Z15+AB15+AD15+AF15+AH15+AJ15</f>
        <v>0</v>
      </c>
      <c r="AM15" s="21" t="n">
        <f aca="false">J15+L15+N15+P15+R15+T15+V15+X15+Z15+AB15+AD15+AF15+AH15+AJ15</f>
        <v>0</v>
      </c>
      <c r="AN15" s="21" t="n">
        <f aca="false">AL15+AM15</f>
        <v>0</v>
      </c>
      <c r="AO15" s="10" t="n">
        <v>45</v>
      </c>
      <c r="AP15" s="10" t="n">
        <v>45</v>
      </c>
      <c r="AQ15" s="10" t="n">
        <v>2</v>
      </c>
      <c r="AR15" s="10" t="n">
        <v>20</v>
      </c>
      <c r="AS15" s="10" t="n">
        <v>0</v>
      </c>
      <c r="AT15" s="10" t="n">
        <v>0</v>
      </c>
      <c r="AU15" s="10" t="n">
        <v>20</v>
      </c>
      <c r="AV15" s="10" t="n">
        <v>15</v>
      </c>
      <c r="AW15" s="10" t="n">
        <v>0</v>
      </c>
      <c r="AX15" s="10" t="n">
        <v>0</v>
      </c>
      <c r="AY15" s="66" t="n">
        <v>0</v>
      </c>
    </row>
    <row r="16" s="41" customFormat="true" ht="32.25" hidden="false" customHeight="true" outlineLevel="0" collapsed="false">
      <c r="A16" s="27" t="n">
        <v>5</v>
      </c>
      <c r="B16" s="28" t="s">
        <v>102</v>
      </c>
      <c r="C16" s="29" t="n">
        <v>238</v>
      </c>
      <c r="D16" s="29" t="n">
        <v>239</v>
      </c>
      <c r="E16" s="30" t="n">
        <v>95</v>
      </c>
      <c r="F16" s="30" t="n">
        <v>114</v>
      </c>
      <c r="G16" s="30" t="n">
        <v>55</v>
      </c>
      <c r="H16" s="30" t="n">
        <v>67</v>
      </c>
      <c r="I16" s="31" t="n">
        <f aca="false">SUM(E16:H16)</f>
        <v>331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16</v>
      </c>
      <c r="R16" s="10" t="n">
        <v>0</v>
      </c>
      <c r="S16" s="10" t="n">
        <v>0</v>
      </c>
      <c r="T16" s="10"/>
      <c r="U16" s="10"/>
      <c r="V16" s="10" t="n">
        <v>0</v>
      </c>
      <c r="W16" s="10" t="n">
        <v>0</v>
      </c>
      <c r="X16" s="10" t="n">
        <v>0</v>
      </c>
      <c r="Y16" s="10" t="n">
        <v>2</v>
      </c>
      <c r="Z16" s="10" t="n">
        <v>0</v>
      </c>
      <c r="AA16" s="10" t="n">
        <v>0</v>
      </c>
      <c r="AB16" s="10"/>
      <c r="AC16" s="10"/>
      <c r="AD16" s="10"/>
      <c r="AE16" s="10"/>
      <c r="AF16" s="10" t="n">
        <v>0</v>
      </c>
      <c r="AG16" s="10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21" t="n">
        <f aca="false">J16+L16+N16+P16+R16+T16+V16+X16+Z16+AB16+AD16+AF16+AH16+AJ16</f>
        <v>0</v>
      </c>
      <c r="AM16" s="21" t="n">
        <f aca="false">J16+L16+N16+P16+R16+T16+V16+X16+Z16+AB16+AD16+AF16+AH16+AJ16</f>
        <v>0</v>
      </c>
      <c r="AN16" s="21" t="n">
        <f aca="false">AL16+AM16</f>
        <v>0</v>
      </c>
      <c r="AO16" s="10"/>
      <c r="AP16" s="10"/>
      <c r="AQ16" s="10"/>
      <c r="AR16" s="10"/>
      <c r="AS16" s="10"/>
      <c r="AT16" s="10"/>
      <c r="AU16" s="10"/>
      <c r="AV16" s="10"/>
      <c r="AW16" s="10" t="n">
        <v>0</v>
      </c>
      <c r="AX16" s="10" t="n">
        <v>0</v>
      </c>
      <c r="AY16" s="66" t="n">
        <v>0</v>
      </c>
    </row>
    <row r="17" s="41" customFormat="true" ht="32.25" hidden="false" customHeight="true" outlineLevel="0" collapsed="false">
      <c r="A17" s="27" t="n">
        <v>6</v>
      </c>
      <c r="B17" s="28" t="s">
        <v>47</v>
      </c>
      <c r="C17" s="29" t="n">
        <v>199</v>
      </c>
      <c r="D17" s="29" t="n">
        <v>197</v>
      </c>
      <c r="E17" s="30" t="n">
        <v>125</v>
      </c>
      <c r="F17" s="30" t="n">
        <v>126</v>
      </c>
      <c r="G17" s="30" t="n">
        <v>23</v>
      </c>
      <c r="H17" s="30" t="n">
        <v>29</v>
      </c>
      <c r="I17" s="31" t="n">
        <f aca="false">E17+F17+G17+H17</f>
        <v>303</v>
      </c>
      <c r="J17" s="10" t="n">
        <v>0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1</v>
      </c>
      <c r="P17" s="10" t="n">
        <v>1</v>
      </c>
      <c r="Q17" s="10" t="n">
        <v>1</v>
      </c>
      <c r="R17" s="10" t="n">
        <v>0</v>
      </c>
      <c r="S17" s="10" t="n">
        <v>0</v>
      </c>
      <c r="T17" s="10"/>
      <c r="U17" s="10"/>
      <c r="V17" s="10" t="n">
        <v>0</v>
      </c>
      <c r="W17" s="10" t="n">
        <v>0</v>
      </c>
      <c r="X17" s="10" t="n">
        <v>0</v>
      </c>
      <c r="Y17" s="10" t="n">
        <v>3</v>
      </c>
      <c r="Z17" s="10" t="n">
        <v>0</v>
      </c>
      <c r="AA17" s="10" t="n">
        <v>0</v>
      </c>
      <c r="AB17" s="10"/>
      <c r="AC17" s="10"/>
      <c r="AD17" s="10"/>
      <c r="AE17" s="10"/>
      <c r="AF17" s="10" t="n">
        <v>2</v>
      </c>
      <c r="AG17" s="10" t="n">
        <v>16</v>
      </c>
      <c r="AH17" s="10" t="n">
        <v>1</v>
      </c>
      <c r="AI17" s="10" t="n">
        <v>2</v>
      </c>
      <c r="AJ17" s="10" t="n">
        <v>0</v>
      </c>
      <c r="AK17" s="10" t="n">
        <v>0</v>
      </c>
      <c r="AL17" s="21" t="n">
        <f aca="false">J17+L17+N17+P17+R17+T17+V17+X17+Z17+AB17+AD17+AF17+AH17+AJ17</f>
        <v>4</v>
      </c>
      <c r="AM17" s="21" t="n">
        <f aca="false">J17+L17+N17+P17+R17+T17+V17+X17+Z17+AB17+AD17+AF17+AH17+AJ17</f>
        <v>4</v>
      </c>
      <c r="AN17" s="21" t="n">
        <f aca="false">AL17+AM17</f>
        <v>8</v>
      </c>
      <c r="AO17" s="10" t="n">
        <v>41</v>
      </c>
      <c r="AP17" s="10" t="n">
        <v>41</v>
      </c>
      <c r="AQ17" s="10" t="n">
        <v>5</v>
      </c>
      <c r="AR17" s="10" t="n">
        <v>26</v>
      </c>
      <c r="AS17" s="10" t="n">
        <v>0</v>
      </c>
      <c r="AT17" s="10" t="n">
        <v>0</v>
      </c>
      <c r="AU17" s="10" t="n">
        <v>26</v>
      </c>
      <c r="AV17" s="10" t="n">
        <v>19</v>
      </c>
      <c r="AW17" s="10" t="n">
        <v>0</v>
      </c>
      <c r="AX17" s="10" t="n">
        <v>0</v>
      </c>
      <c r="AY17" s="66" t="n">
        <v>0</v>
      </c>
    </row>
    <row r="18" s="46" customFormat="true" ht="36.75" hidden="false" customHeight="true" outlineLevel="0" collapsed="false">
      <c r="A18" s="15" t="s">
        <v>48</v>
      </c>
      <c r="B18" s="15"/>
      <c r="C18" s="31" t="n">
        <f aca="false">SUM(C12:C17)</f>
        <v>1651</v>
      </c>
      <c r="D18" s="31" t="n">
        <f aca="false">SUM(D12:D17)</f>
        <v>1636</v>
      </c>
      <c r="E18" s="31" t="n">
        <f aca="false">SUM(E12:E17)</f>
        <v>974</v>
      </c>
      <c r="F18" s="31" t="n">
        <f aca="false">SUM(F12:F17)</f>
        <v>1012</v>
      </c>
      <c r="G18" s="31" t="n">
        <f aca="false">SUM(G12:G17)</f>
        <v>237</v>
      </c>
      <c r="H18" s="31" t="n">
        <f aca="false">SUM(H12:H17)</f>
        <v>265</v>
      </c>
      <c r="I18" s="31" t="n">
        <f aca="false">SUM(I12:I17)</f>
        <v>2488</v>
      </c>
      <c r="J18" s="21" t="n">
        <f aca="false">SUM(J12:J17)</f>
        <v>0</v>
      </c>
      <c r="K18" s="21" t="n">
        <f aca="false">SUM(K12:K17)</f>
        <v>0</v>
      </c>
      <c r="L18" s="21" t="n">
        <f aca="false">SUM(L12:L17)</f>
        <v>0</v>
      </c>
      <c r="M18" s="21" t="n">
        <f aca="false">SUM(M12:M17)</f>
        <v>0</v>
      </c>
      <c r="N18" s="21" t="n">
        <f aca="false">SUM(N12:N17)</f>
        <v>0</v>
      </c>
      <c r="O18" s="21" t="n">
        <f aca="false">SUM(O12:O17)</f>
        <v>1</v>
      </c>
      <c r="P18" s="21" t="n">
        <f aca="false">SUM(P12:P17)</f>
        <v>2</v>
      </c>
      <c r="Q18" s="21" t="n">
        <f aca="false">SUM(Q12:Q17)</f>
        <v>20</v>
      </c>
      <c r="R18" s="21" t="n">
        <f aca="false">SUM(R12:R17)</f>
        <v>2</v>
      </c>
      <c r="S18" s="21" t="n">
        <f aca="false">SUM(S12:S17)</f>
        <v>3</v>
      </c>
      <c r="T18" s="21" t="n">
        <f aca="false">SUM(T12:T17)</f>
        <v>0</v>
      </c>
      <c r="U18" s="21" t="n">
        <f aca="false">SUM(U12:U17)</f>
        <v>0</v>
      </c>
      <c r="V18" s="21" t="n">
        <f aca="false">SUM(V12:V17)</f>
        <v>0</v>
      </c>
      <c r="W18" s="21" t="n">
        <f aca="false">SUM(W12:W17)</f>
        <v>0</v>
      </c>
      <c r="X18" s="21" t="n">
        <f aca="false">SUM(X12:X17)</f>
        <v>0</v>
      </c>
      <c r="Y18" s="21" t="n">
        <f aca="false">SUM(Y12:Y17)</f>
        <v>7</v>
      </c>
      <c r="Z18" s="21" t="n">
        <f aca="false">SUM(Z12:Z17)</f>
        <v>0</v>
      </c>
      <c r="AA18" s="21" t="n">
        <f aca="false">SUM(AA12:AA17)</f>
        <v>0</v>
      </c>
      <c r="AB18" s="21" t="n">
        <f aca="false">SUM(AB12:AB17)</f>
        <v>0</v>
      </c>
      <c r="AC18" s="21" t="n">
        <f aca="false">SUM(AC12:AC17)</f>
        <v>0</v>
      </c>
      <c r="AD18" s="21" t="n">
        <f aca="false">SUM(AD12:AD17)</f>
        <v>0</v>
      </c>
      <c r="AE18" s="21" t="n">
        <f aca="false">SUM(AE12:AE17)</f>
        <v>0</v>
      </c>
      <c r="AF18" s="21" t="n">
        <f aca="false">SUM(AF12:AF17)</f>
        <v>2</v>
      </c>
      <c r="AG18" s="21" t="n">
        <f aca="false">SUM(AG12:AG17)</f>
        <v>16</v>
      </c>
      <c r="AH18" s="21" t="n">
        <f aca="false">SUM(AH12:AH17)</f>
        <v>1</v>
      </c>
      <c r="AI18" s="21" t="n">
        <f aca="false">SUM(AI12:AI17)</f>
        <v>2</v>
      </c>
      <c r="AJ18" s="21" t="n">
        <f aca="false">SUM(AJ12:AJ17)</f>
        <v>0</v>
      </c>
      <c r="AK18" s="21" t="n">
        <f aca="false">SUM(AK12:AK17)</f>
        <v>0</v>
      </c>
      <c r="AL18" s="21" t="n">
        <f aca="false">SUM(AL12:AL17)</f>
        <v>7</v>
      </c>
      <c r="AM18" s="21" t="n">
        <f aca="false">SUM(AM12:AM17)</f>
        <v>7</v>
      </c>
      <c r="AN18" s="21" t="n">
        <f aca="false">SUM(AN12:AN17)</f>
        <v>14</v>
      </c>
      <c r="AO18" s="21" t="n">
        <f aca="false">SUM(AO12:AO17)</f>
        <v>290</v>
      </c>
      <c r="AP18" s="21" t="n">
        <f aca="false">SUM(AP12:AP17)</f>
        <v>290</v>
      </c>
      <c r="AQ18" s="21" t="n">
        <f aca="false">SUM(AQ12:AQ17)</f>
        <v>21</v>
      </c>
      <c r="AR18" s="21" t="n">
        <f aca="false">SUM(AR12:AR17)</f>
        <v>190</v>
      </c>
      <c r="AS18" s="21" t="n">
        <f aca="false">SUM(AS12:AS17)</f>
        <v>0</v>
      </c>
      <c r="AT18" s="21" t="n">
        <f aca="false">SUM(AT12:AT17)</f>
        <v>0</v>
      </c>
      <c r="AU18" s="21" t="n">
        <f aca="false">SUM(AU12:AU17)</f>
        <v>188</v>
      </c>
      <c r="AV18" s="21" t="n">
        <f aca="false">SUM(AV12:AV17)</f>
        <v>94</v>
      </c>
      <c r="AW18" s="21" t="n">
        <f aca="false">SUM(AW12:AW17)</f>
        <v>0</v>
      </c>
      <c r="AX18" s="21" t="n">
        <f aca="false">SUM(AX12:AX17)</f>
        <v>0</v>
      </c>
      <c r="AY18" s="67" t="n">
        <f aca="false">SUM(AY12:AY17)</f>
        <v>0</v>
      </c>
    </row>
    <row r="19" customFormat="false" ht="15.75" hidden="false" customHeight="false" outlineLevel="0" collapsed="false">
      <c r="A19" s="47"/>
      <c r="B19" s="48"/>
      <c r="C19" s="49"/>
      <c r="D19" s="49"/>
      <c r="E19" s="49"/>
      <c r="F19" s="49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68"/>
    </row>
    <row r="20" customFormat="false" ht="15.75" hidden="false" customHeight="false" outlineLevel="0" collapsed="false">
      <c r="J20" s="47"/>
    </row>
    <row r="23" customFormat="false" ht="15.75" hidden="false" customHeight="false" outlineLevel="0" collapsed="false">
      <c r="A23" s="2" t="s">
        <v>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customFormat="false" ht="15.7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customFormat="false" ht="15.75" hidden="false" customHeight="false" outlineLevel="0" collapsed="false">
      <c r="A25" s="3" t="s">
        <v>67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customFormat="false" ht="15.75" hidden="false" customHeight="false" outlineLevel="0" collapsed="false">
      <c r="A26" s="3" t="s">
        <v>3</v>
      </c>
      <c r="B26" s="4" t="s">
        <v>68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customFormat="false" ht="15.75" hidden="false" customHeight="false" outlineLevel="0" collapsed="false">
      <c r="A27" s="3" t="s">
        <v>103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customFormat="false" ht="15.75" hidden="false" customHeight="false" outlineLevel="0" collapsed="false">
      <c r="A28" s="4"/>
      <c r="B28" s="4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customFormat="false" ht="22.5" hidden="false" customHeight="true" outlineLevel="0" collapsed="false">
      <c r="A29" s="7" t="s">
        <v>7</v>
      </c>
      <c r="B29" s="8" t="s">
        <v>8</v>
      </c>
      <c r="C29" s="10" t="s">
        <v>14</v>
      </c>
      <c r="D29" s="10"/>
      <c r="E29" s="10"/>
      <c r="F29" s="10"/>
      <c r="G29" s="10"/>
      <c r="H29" s="11"/>
      <c r="I29" s="11"/>
      <c r="J29" s="7" t="s">
        <v>70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 t="s">
        <v>71</v>
      </c>
      <c r="AM29" s="8"/>
      <c r="AN29" s="8"/>
      <c r="AO29" s="7" t="s">
        <v>72</v>
      </c>
      <c r="AP29" s="7"/>
      <c r="AQ29" s="7"/>
      <c r="AR29" s="7" t="s">
        <v>73</v>
      </c>
      <c r="AS29" s="7"/>
      <c r="AT29" s="7"/>
      <c r="AU29" s="8" t="s">
        <v>74</v>
      </c>
      <c r="AV29" s="8" t="s">
        <v>75</v>
      </c>
      <c r="AW29" s="8" t="s">
        <v>76</v>
      </c>
      <c r="AX29" s="8" t="s">
        <v>77</v>
      </c>
      <c r="AY29" s="59" t="s">
        <v>78</v>
      </c>
    </row>
    <row r="30" customFormat="false" ht="15" hidden="false" customHeight="true" outlineLevel="0" collapsed="false">
      <c r="A30" s="7"/>
      <c r="B30" s="8"/>
      <c r="C30" s="7" t="s">
        <v>22</v>
      </c>
      <c r="D30" s="7"/>
      <c r="E30" s="7" t="s">
        <v>23</v>
      </c>
      <c r="F30" s="7"/>
      <c r="G30" s="7" t="s">
        <v>24</v>
      </c>
      <c r="H30" s="7"/>
      <c r="I30" s="8" t="s">
        <v>25</v>
      </c>
      <c r="J30" s="8" t="s">
        <v>79</v>
      </c>
      <c r="K30" s="8"/>
      <c r="L30" s="7" t="s">
        <v>80</v>
      </c>
      <c r="M30" s="7"/>
      <c r="N30" s="7"/>
      <c r="O30" s="7"/>
      <c r="P30" s="7" t="s">
        <v>81</v>
      </c>
      <c r="Q30" s="7"/>
      <c r="R30" s="7"/>
      <c r="S30" s="7"/>
      <c r="T30" s="8" t="s">
        <v>82</v>
      </c>
      <c r="U30" s="8"/>
      <c r="V30" s="8" t="s">
        <v>83</v>
      </c>
      <c r="W30" s="8"/>
      <c r="X30" s="8" t="s">
        <v>84</v>
      </c>
      <c r="Y30" s="8"/>
      <c r="Z30" s="8" t="s">
        <v>85</v>
      </c>
      <c r="AA30" s="8"/>
      <c r="AB30" s="8" t="s">
        <v>86</v>
      </c>
      <c r="AC30" s="8"/>
      <c r="AD30" s="8" t="s">
        <v>87</v>
      </c>
      <c r="AE30" s="8"/>
      <c r="AF30" s="8" t="s">
        <v>88</v>
      </c>
      <c r="AG30" s="8"/>
      <c r="AH30" s="8" t="s">
        <v>89</v>
      </c>
      <c r="AI30" s="8"/>
      <c r="AJ30" s="8" t="s">
        <v>90</v>
      </c>
      <c r="AK30" s="8"/>
      <c r="AL30" s="8"/>
      <c r="AM30" s="8"/>
      <c r="AN30" s="8"/>
      <c r="AO30" s="7" t="s">
        <v>91</v>
      </c>
      <c r="AP30" s="7" t="s">
        <v>92</v>
      </c>
      <c r="AQ30" s="7" t="s">
        <v>93</v>
      </c>
      <c r="AR30" s="7"/>
      <c r="AS30" s="7"/>
      <c r="AT30" s="7"/>
      <c r="AU30" s="8"/>
      <c r="AV30" s="8"/>
      <c r="AW30" s="8"/>
      <c r="AX30" s="8"/>
      <c r="AY30" s="59"/>
    </row>
    <row r="31" customFormat="false" ht="27" hidden="false" customHeight="true" outlineLevel="0" collapsed="false">
      <c r="A31" s="7"/>
      <c r="B31" s="8"/>
      <c r="C31" s="7" t="s">
        <v>29</v>
      </c>
      <c r="D31" s="7" t="s">
        <v>30</v>
      </c>
      <c r="E31" s="7" t="s">
        <v>29</v>
      </c>
      <c r="F31" s="7" t="s">
        <v>30</v>
      </c>
      <c r="G31" s="7" t="s">
        <v>29</v>
      </c>
      <c r="H31" s="7" t="s">
        <v>30</v>
      </c>
      <c r="I31" s="8"/>
      <c r="J31" s="8"/>
      <c r="K31" s="8"/>
      <c r="L31" s="7" t="s">
        <v>29</v>
      </c>
      <c r="M31" s="7"/>
      <c r="N31" s="7" t="s">
        <v>94</v>
      </c>
      <c r="O31" s="7"/>
      <c r="P31" s="7" t="s">
        <v>95</v>
      </c>
      <c r="Q31" s="7"/>
      <c r="R31" s="7" t="s">
        <v>96</v>
      </c>
      <c r="S31" s="7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7"/>
      <c r="AP31" s="7"/>
      <c r="AQ31" s="7"/>
      <c r="AR31" s="60" t="s">
        <v>97</v>
      </c>
      <c r="AS31" s="60" t="s">
        <v>98</v>
      </c>
      <c r="AT31" s="60" t="s">
        <v>99</v>
      </c>
      <c r="AU31" s="8"/>
      <c r="AV31" s="8"/>
      <c r="AW31" s="8"/>
      <c r="AX31" s="8"/>
      <c r="AY31" s="59"/>
    </row>
    <row r="32" customFormat="false" ht="60.75" hidden="false" customHeight="true" outlineLevel="0" collapsed="false">
      <c r="A32" s="7"/>
      <c r="B32" s="8"/>
      <c r="C32" s="7"/>
      <c r="D32" s="7"/>
      <c r="E32" s="7"/>
      <c r="F32" s="7"/>
      <c r="G32" s="7"/>
      <c r="H32" s="7"/>
      <c r="I32" s="8"/>
      <c r="J32" s="8" t="s">
        <v>29</v>
      </c>
      <c r="K32" s="8" t="s">
        <v>30</v>
      </c>
      <c r="L32" s="8" t="s">
        <v>29</v>
      </c>
      <c r="M32" s="8" t="s">
        <v>30</v>
      </c>
      <c r="N32" s="8" t="s">
        <v>29</v>
      </c>
      <c r="O32" s="8" t="s">
        <v>30</v>
      </c>
      <c r="P32" s="8" t="s">
        <v>29</v>
      </c>
      <c r="Q32" s="8" t="s">
        <v>30</v>
      </c>
      <c r="R32" s="8" t="s">
        <v>29</v>
      </c>
      <c r="S32" s="8" t="s">
        <v>30</v>
      </c>
      <c r="T32" s="8" t="s">
        <v>29</v>
      </c>
      <c r="U32" s="8" t="s">
        <v>30</v>
      </c>
      <c r="V32" s="8" t="s">
        <v>29</v>
      </c>
      <c r="W32" s="8" t="s">
        <v>30</v>
      </c>
      <c r="X32" s="8" t="s">
        <v>29</v>
      </c>
      <c r="Y32" s="8" t="s">
        <v>30</v>
      </c>
      <c r="Z32" s="8" t="s">
        <v>29</v>
      </c>
      <c r="AA32" s="8" t="s">
        <v>30</v>
      </c>
      <c r="AB32" s="8" t="s">
        <v>29</v>
      </c>
      <c r="AC32" s="8" t="s">
        <v>30</v>
      </c>
      <c r="AD32" s="8" t="s">
        <v>29</v>
      </c>
      <c r="AE32" s="8" t="s">
        <v>30</v>
      </c>
      <c r="AF32" s="8" t="s">
        <v>29</v>
      </c>
      <c r="AG32" s="8" t="s">
        <v>30</v>
      </c>
      <c r="AH32" s="8" t="s">
        <v>29</v>
      </c>
      <c r="AI32" s="8" t="s">
        <v>30</v>
      </c>
      <c r="AJ32" s="8" t="s">
        <v>29</v>
      </c>
      <c r="AK32" s="8" t="s">
        <v>30</v>
      </c>
      <c r="AL32" s="8" t="s">
        <v>29</v>
      </c>
      <c r="AM32" s="8" t="s">
        <v>30</v>
      </c>
      <c r="AN32" s="8" t="s">
        <v>31</v>
      </c>
      <c r="AO32" s="7"/>
      <c r="AP32" s="7"/>
      <c r="AQ32" s="7"/>
      <c r="AR32" s="60"/>
      <c r="AS32" s="60"/>
      <c r="AT32" s="60"/>
      <c r="AU32" s="8"/>
      <c r="AV32" s="8"/>
      <c r="AW32" s="8"/>
      <c r="AX32" s="8"/>
      <c r="AY32" s="59"/>
    </row>
    <row r="33" s="26" customFormat="true" ht="13.5" hidden="false" customHeight="true" outlineLevel="0" collapsed="false">
      <c r="A33" s="22" t="n">
        <v>1</v>
      </c>
      <c r="B33" s="23" t="n">
        <v>2</v>
      </c>
      <c r="C33" s="24" t="n">
        <v>3</v>
      </c>
      <c r="D33" s="24"/>
      <c r="E33" s="24"/>
      <c r="F33" s="24"/>
      <c r="G33" s="24"/>
      <c r="H33" s="24"/>
      <c r="I33" s="61" t="n">
        <v>4</v>
      </c>
      <c r="J33" s="24" t="n">
        <v>5</v>
      </c>
      <c r="K33" s="24"/>
      <c r="L33" s="24" t="n">
        <v>6</v>
      </c>
      <c r="M33" s="24"/>
      <c r="N33" s="24"/>
      <c r="O33" s="24"/>
      <c r="P33" s="24" t="n">
        <v>7</v>
      </c>
      <c r="Q33" s="24"/>
      <c r="R33" s="24"/>
      <c r="S33" s="24"/>
      <c r="T33" s="24" t="n">
        <v>8</v>
      </c>
      <c r="U33" s="24"/>
      <c r="V33" s="24" t="n">
        <v>9</v>
      </c>
      <c r="W33" s="24"/>
      <c r="X33" s="24" t="n">
        <f aca="false">+V33+1</f>
        <v>10</v>
      </c>
      <c r="Y33" s="24"/>
      <c r="Z33" s="24" t="n">
        <f aca="false">+X33+1</f>
        <v>11</v>
      </c>
      <c r="AA33" s="24"/>
      <c r="AB33" s="24" t="n">
        <f aca="false">+Z33+1</f>
        <v>12</v>
      </c>
      <c r="AC33" s="24"/>
      <c r="AD33" s="24" t="n">
        <f aca="false">+AB33+1</f>
        <v>13</v>
      </c>
      <c r="AE33" s="24"/>
      <c r="AF33" s="24" t="n">
        <f aca="false">+AD33+1</f>
        <v>14</v>
      </c>
      <c r="AG33" s="24"/>
      <c r="AH33" s="24" t="n">
        <f aca="false">+AF33+1</f>
        <v>15</v>
      </c>
      <c r="AI33" s="24"/>
      <c r="AJ33" s="24" t="n">
        <f aca="false">+AH33+1</f>
        <v>16</v>
      </c>
      <c r="AK33" s="24"/>
      <c r="AL33" s="24" t="n">
        <f aca="false">+AJ33+1</f>
        <v>17</v>
      </c>
      <c r="AM33" s="24"/>
      <c r="AN33" s="24"/>
      <c r="AO33" s="23" t="n">
        <v>18</v>
      </c>
      <c r="AP33" s="23"/>
      <c r="AQ33" s="23"/>
      <c r="AR33" s="62" t="n">
        <v>19</v>
      </c>
      <c r="AS33" s="62"/>
      <c r="AT33" s="62"/>
      <c r="AU33" s="63" t="n">
        <v>20</v>
      </c>
      <c r="AV33" s="24" t="n">
        <v>21</v>
      </c>
      <c r="AW33" s="24" t="n">
        <v>22</v>
      </c>
      <c r="AX33" s="24" t="n">
        <v>23</v>
      </c>
      <c r="AY33" s="23" t="n">
        <v>24</v>
      </c>
      <c r="AZ33" s="64"/>
    </row>
    <row r="34" s="41" customFormat="true" ht="32.25" hidden="false" customHeight="true" outlineLevel="0" collapsed="false">
      <c r="A34" s="27" t="n">
        <v>1</v>
      </c>
      <c r="B34" s="28" t="s">
        <v>42</v>
      </c>
      <c r="C34" s="29" t="n">
        <v>443</v>
      </c>
      <c r="D34" s="29" t="n">
        <v>437</v>
      </c>
      <c r="E34" s="30" t="n">
        <v>272</v>
      </c>
      <c r="F34" s="30" t="n">
        <v>276</v>
      </c>
      <c r="G34" s="30" t="n">
        <v>17</v>
      </c>
      <c r="H34" s="30" t="n">
        <v>18</v>
      </c>
      <c r="I34" s="31" t="n">
        <f aca="false">E34+F34+G34+H34</f>
        <v>583</v>
      </c>
      <c r="J34" s="10" t="n">
        <v>0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3</v>
      </c>
      <c r="Q34" s="10" t="n">
        <v>4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2</v>
      </c>
      <c r="Y34" s="10" t="n">
        <v>1</v>
      </c>
      <c r="Z34" s="10" t="n">
        <v>0</v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21" t="n">
        <f aca="false">J34+L34+N34+P34+R34+T34+V34+X34+Z34+AB34+AD34+AF34+AH34+AJ34</f>
        <v>5</v>
      </c>
      <c r="AM34" s="21" t="n">
        <f aca="false">J34+L34+N34+P34+R34+T34+V34+X34+Z34+AB34+AD34+AF34+AH34+AJ34</f>
        <v>5</v>
      </c>
      <c r="AN34" s="21" t="n">
        <f aca="false">AL34+AM34</f>
        <v>10</v>
      </c>
      <c r="AO34" s="10" t="n">
        <v>68</v>
      </c>
      <c r="AP34" s="10" t="n">
        <v>62</v>
      </c>
      <c r="AQ34" s="10" t="n">
        <v>5</v>
      </c>
      <c r="AR34" s="65" t="n">
        <v>60</v>
      </c>
      <c r="AS34" s="65" t="n">
        <v>0</v>
      </c>
      <c r="AT34" s="65" t="n">
        <v>0</v>
      </c>
      <c r="AU34" s="10" t="n">
        <v>60</v>
      </c>
      <c r="AV34" s="10" t="n">
        <v>28</v>
      </c>
      <c r="AW34" s="10" t="n">
        <v>0</v>
      </c>
      <c r="AX34" s="10" t="n">
        <v>0</v>
      </c>
      <c r="AY34" s="66" t="n">
        <v>0</v>
      </c>
    </row>
    <row r="35" s="41" customFormat="true" ht="32.25" hidden="false" customHeight="true" outlineLevel="0" collapsed="false">
      <c r="A35" s="27" t="n">
        <v>2</v>
      </c>
      <c r="B35" s="28" t="s">
        <v>43</v>
      </c>
      <c r="C35" s="29" t="n">
        <v>255</v>
      </c>
      <c r="D35" s="29" t="n">
        <v>252</v>
      </c>
      <c r="E35" s="30" t="n">
        <v>163</v>
      </c>
      <c r="F35" s="30" t="n">
        <v>169</v>
      </c>
      <c r="G35" s="30" t="n">
        <v>64</v>
      </c>
      <c r="H35" s="30" t="n">
        <v>63</v>
      </c>
      <c r="I35" s="31" t="n">
        <f aca="false">E35+F35+G35+H35</f>
        <v>459</v>
      </c>
      <c r="J35" s="10" t="n">
        <v>0</v>
      </c>
      <c r="K35" s="10" t="n">
        <v>0</v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12</v>
      </c>
      <c r="Q35" s="10" t="n">
        <v>10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0</v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10" t="n">
        <v>0</v>
      </c>
      <c r="AC35" s="10" t="n">
        <v>0</v>
      </c>
      <c r="AD35" s="10" t="n">
        <v>0</v>
      </c>
      <c r="AE35" s="10" t="n">
        <v>0</v>
      </c>
      <c r="AF35" s="10" t="n">
        <v>0</v>
      </c>
      <c r="AG35" s="10" t="n">
        <v>0</v>
      </c>
      <c r="AH35" s="10" t="n">
        <v>0</v>
      </c>
      <c r="AI35" s="10" t="n">
        <v>0</v>
      </c>
      <c r="AJ35" s="10" t="n">
        <v>0</v>
      </c>
      <c r="AK35" s="10" t="n">
        <v>0</v>
      </c>
      <c r="AL35" s="21" t="n">
        <f aca="false">J35+L35+N35+P35+R35+T35+V35+X35+Z35+AB35+AD35+AF35+AH35+AJ35</f>
        <v>12</v>
      </c>
      <c r="AM35" s="21" t="n">
        <f aca="false">J35+L35+N35+P35+R35+T35+V35+X35+Z35+AB35+AD35+AF35+AH35+AJ35</f>
        <v>12</v>
      </c>
      <c r="AN35" s="21" t="n">
        <f aca="false">AL35+AM35</f>
        <v>24</v>
      </c>
      <c r="AO35" s="10" t="n">
        <v>83</v>
      </c>
      <c r="AP35" s="10" t="n">
        <v>83</v>
      </c>
      <c r="AQ35" s="10" t="n">
        <v>4</v>
      </c>
      <c r="AR35" s="10" t="n">
        <v>68</v>
      </c>
      <c r="AS35" s="10" t="n">
        <v>0</v>
      </c>
      <c r="AT35" s="10" t="n">
        <v>0</v>
      </c>
      <c r="AU35" s="10" t="n">
        <v>66</v>
      </c>
      <c r="AV35" s="10" t="n">
        <v>20</v>
      </c>
      <c r="AW35" s="10" t="n">
        <v>0</v>
      </c>
      <c r="AX35" s="10" t="n">
        <v>0</v>
      </c>
      <c r="AY35" s="66" t="n">
        <v>0</v>
      </c>
    </row>
    <row r="36" s="41" customFormat="true" ht="32.25" hidden="false" customHeight="true" outlineLevel="0" collapsed="false">
      <c r="A36" s="27" t="n">
        <v>3</v>
      </c>
      <c r="B36" s="28" t="s">
        <v>100</v>
      </c>
      <c r="C36" s="29" t="n">
        <v>315</v>
      </c>
      <c r="D36" s="29" t="n">
        <v>312</v>
      </c>
      <c r="E36" s="30" t="n">
        <v>198</v>
      </c>
      <c r="F36" s="30" t="n">
        <v>202</v>
      </c>
      <c r="G36" s="30" t="n">
        <v>52</v>
      </c>
      <c r="H36" s="30" t="n">
        <v>55</v>
      </c>
      <c r="I36" s="31" t="n">
        <f aca="false">E36+F36+G36+H36</f>
        <v>507</v>
      </c>
      <c r="J36" s="10" t="n">
        <v>0</v>
      </c>
      <c r="K36" s="10" t="n">
        <v>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1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0</v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10" t="n">
        <v>0</v>
      </c>
      <c r="AG36" s="10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21" t="n">
        <f aca="false">J36+L36+N36+P36+R36+T36+V36+X36+Z36+AB36+AD36+AF36+AH36+AJ36</f>
        <v>0</v>
      </c>
      <c r="AM36" s="21" t="n">
        <f aca="false">J36+L36+N36+P36+R36+T36+V36+X36+Z36+AB36+AD36+AF36+AH36+AJ36</f>
        <v>0</v>
      </c>
      <c r="AN36" s="21" t="n">
        <f aca="false">AL36+AM36</f>
        <v>0</v>
      </c>
      <c r="AO36" s="10" t="n">
        <v>76</v>
      </c>
      <c r="AP36" s="10" t="n">
        <v>76</v>
      </c>
      <c r="AQ36" s="10" t="n">
        <v>5</v>
      </c>
      <c r="AR36" s="10" t="n">
        <v>16</v>
      </c>
      <c r="AS36" s="10" t="n">
        <v>0</v>
      </c>
      <c r="AT36" s="10" t="n">
        <v>0</v>
      </c>
      <c r="AU36" s="10" t="n">
        <v>16</v>
      </c>
      <c r="AV36" s="10" t="n">
        <v>12</v>
      </c>
      <c r="AW36" s="10" t="n">
        <v>0</v>
      </c>
      <c r="AX36" s="10" t="n">
        <v>0</v>
      </c>
      <c r="AY36" s="59" t="n">
        <v>0</v>
      </c>
    </row>
    <row r="37" s="41" customFormat="true" ht="32.25" hidden="false" customHeight="true" outlineLevel="0" collapsed="false">
      <c r="A37" s="27" t="n">
        <v>4</v>
      </c>
      <c r="B37" s="28" t="s">
        <v>101</v>
      </c>
      <c r="C37" s="29" t="n">
        <v>201</v>
      </c>
      <c r="D37" s="29" t="n">
        <v>199</v>
      </c>
      <c r="E37" s="30" t="n">
        <v>121</v>
      </c>
      <c r="F37" s="30" t="n">
        <v>125</v>
      </c>
      <c r="G37" s="30" t="n">
        <v>26</v>
      </c>
      <c r="H37" s="30" t="n">
        <v>33</v>
      </c>
      <c r="I37" s="31" t="n">
        <f aca="false">E37+F37+G37+H37</f>
        <v>305</v>
      </c>
      <c r="J37" s="10" t="n">
        <v>0</v>
      </c>
      <c r="K37" s="10" t="n">
        <v>0</v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4</v>
      </c>
      <c r="Q37" s="10" t="n">
        <v>5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</v>
      </c>
      <c r="X37" s="10" t="n">
        <v>0</v>
      </c>
      <c r="Y37" s="10" t="n">
        <v>2</v>
      </c>
      <c r="Z37" s="10" t="n">
        <v>0</v>
      </c>
      <c r="AA37" s="10" t="n">
        <v>0</v>
      </c>
      <c r="AB37" s="10" t="n">
        <v>0</v>
      </c>
      <c r="AC37" s="10" t="n">
        <v>0</v>
      </c>
      <c r="AD37" s="10" t="n">
        <v>0</v>
      </c>
      <c r="AE37" s="10" t="n">
        <v>0</v>
      </c>
      <c r="AF37" s="10" t="n">
        <v>0</v>
      </c>
      <c r="AG37" s="10" t="n">
        <v>0</v>
      </c>
      <c r="AH37" s="10" t="n">
        <v>0</v>
      </c>
      <c r="AI37" s="10" t="n">
        <v>0</v>
      </c>
      <c r="AJ37" s="10" t="n">
        <v>0</v>
      </c>
      <c r="AK37" s="10" t="n">
        <v>0</v>
      </c>
      <c r="AL37" s="21" t="n">
        <f aca="false">J37+L37+N37+P37+R37+T37+V37+X37+Z37+AB37+AD37+AF37+AH37+AJ37</f>
        <v>4</v>
      </c>
      <c r="AM37" s="21" t="n">
        <f aca="false">J37+L37+N37+P37+R37+T37+V37+X37+Z37+AB37+AD37+AF37+AH37+AJ37</f>
        <v>4</v>
      </c>
      <c r="AN37" s="21" t="n">
        <f aca="false">AL37+AM37</f>
        <v>8</v>
      </c>
      <c r="AO37" s="10" t="n">
        <v>45</v>
      </c>
      <c r="AP37" s="10" t="n">
        <v>45</v>
      </c>
      <c r="AQ37" s="10" t="n">
        <v>2</v>
      </c>
      <c r="AR37" s="10" t="n">
        <v>20</v>
      </c>
      <c r="AS37" s="10" t="n">
        <v>0</v>
      </c>
      <c r="AT37" s="10" t="n">
        <v>0</v>
      </c>
      <c r="AU37" s="10" t="n">
        <v>20</v>
      </c>
      <c r="AV37" s="10" t="n">
        <v>15</v>
      </c>
      <c r="AW37" s="10" t="n">
        <v>0</v>
      </c>
      <c r="AX37" s="10" t="n">
        <v>0</v>
      </c>
      <c r="AY37" s="66" t="n">
        <v>0</v>
      </c>
    </row>
    <row r="38" s="41" customFormat="true" ht="32.25" hidden="false" customHeight="true" outlineLevel="0" collapsed="false">
      <c r="A38" s="27" t="n">
        <v>5</v>
      </c>
      <c r="B38" s="28" t="s">
        <v>102</v>
      </c>
      <c r="C38" s="29" t="n">
        <v>238</v>
      </c>
      <c r="D38" s="29" t="n">
        <v>239</v>
      </c>
      <c r="E38" s="30" t="n">
        <v>95</v>
      </c>
      <c r="F38" s="30" t="n">
        <v>114</v>
      </c>
      <c r="G38" s="30" t="n">
        <v>55</v>
      </c>
      <c r="H38" s="30" t="n">
        <v>67</v>
      </c>
      <c r="I38" s="31" t="n">
        <f aca="false">SUM(E38:H38)</f>
        <v>331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3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2</v>
      </c>
      <c r="W38" s="10" t="n">
        <v>1</v>
      </c>
      <c r="X38" s="10" t="n">
        <v>0</v>
      </c>
      <c r="Y38" s="10" t="n">
        <v>2</v>
      </c>
      <c r="Z38" s="10" t="n">
        <v>0</v>
      </c>
      <c r="AA38" s="10" t="n">
        <v>0</v>
      </c>
      <c r="AB38" s="10" t="n">
        <v>0</v>
      </c>
      <c r="AC38" s="10" t="n">
        <v>0</v>
      </c>
      <c r="AD38" s="10" t="n">
        <v>0</v>
      </c>
      <c r="AE38" s="10" t="n">
        <v>0</v>
      </c>
      <c r="AF38" s="10" t="n">
        <v>0</v>
      </c>
      <c r="AG38" s="10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21" t="n">
        <f aca="false">J38+L38+N38+P38+R38+T38+V38+X38+Z38+AB38+AD38+AF38+AH38+AJ38</f>
        <v>2</v>
      </c>
      <c r="AM38" s="21" t="n">
        <f aca="false">J38+L38+N38+P38+R38+T38+V38+X38+Z38+AB38+AD38+AF38+AH38+AJ38</f>
        <v>2</v>
      </c>
      <c r="AN38" s="21" t="n">
        <f aca="false">AL38+AM38</f>
        <v>4</v>
      </c>
      <c r="AO38" s="10" t="n">
        <v>45</v>
      </c>
      <c r="AP38" s="10" t="n">
        <v>41</v>
      </c>
      <c r="AQ38" s="10" t="n">
        <v>0</v>
      </c>
      <c r="AR38" s="10" t="n">
        <v>35</v>
      </c>
      <c r="AS38" s="10" t="n">
        <v>0</v>
      </c>
      <c r="AT38" s="10" t="n">
        <v>0</v>
      </c>
      <c r="AU38" s="10" t="n">
        <v>45</v>
      </c>
      <c r="AV38" s="10" t="n">
        <v>28</v>
      </c>
      <c r="AW38" s="10" t="n">
        <v>0</v>
      </c>
      <c r="AX38" s="10" t="n">
        <v>0</v>
      </c>
      <c r="AY38" s="66" t="n">
        <v>0</v>
      </c>
    </row>
    <row r="39" s="46" customFormat="true" ht="36.75" hidden="false" customHeight="true" outlineLevel="0" collapsed="false">
      <c r="A39" s="27" t="n">
        <v>6</v>
      </c>
      <c r="B39" s="28" t="s">
        <v>47</v>
      </c>
      <c r="C39" s="29" t="n">
        <v>199</v>
      </c>
      <c r="D39" s="29" t="n">
        <v>197</v>
      </c>
      <c r="E39" s="30" t="n">
        <v>125</v>
      </c>
      <c r="F39" s="30" t="n">
        <v>126</v>
      </c>
      <c r="G39" s="30" t="n">
        <v>23</v>
      </c>
      <c r="H39" s="30" t="n">
        <v>29</v>
      </c>
      <c r="I39" s="31" t="n">
        <f aca="false">E39+F39+G39+H39</f>
        <v>303</v>
      </c>
      <c r="J39" s="10" t="n">
        <v>0</v>
      </c>
      <c r="K39" s="10" t="n">
        <v>0</v>
      </c>
      <c r="L39" s="10" t="n">
        <v>0</v>
      </c>
      <c r="M39" s="10" t="n">
        <v>0</v>
      </c>
      <c r="N39" s="10" t="n">
        <v>0</v>
      </c>
      <c r="O39" s="10" t="n">
        <v>0</v>
      </c>
      <c r="P39" s="10" t="n">
        <v>2</v>
      </c>
      <c r="Q39" s="10" t="n">
        <v>1</v>
      </c>
      <c r="R39" s="10" t="n">
        <v>0</v>
      </c>
      <c r="S39" s="10" t="n">
        <v>0</v>
      </c>
      <c r="T39" s="10" t="n">
        <v>0</v>
      </c>
      <c r="U39" s="10" t="n">
        <v>0</v>
      </c>
      <c r="V39" s="10" t="n">
        <v>0</v>
      </c>
      <c r="W39" s="10" t="n">
        <v>0</v>
      </c>
      <c r="X39" s="10" t="n">
        <v>0</v>
      </c>
      <c r="Y39" s="10" t="n">
        <v>2</v>
      </c>
      <c r="Z39" s="10" t="n">
        <v>1</v>
      </c>
      <c r="AA39" s="10" t="n">
        <v>1</v>
      </c>
      <c r="AB39" s="10" t="n">
        <v>0</v>
      </c>
      <c r="AC39" s="10" t="n">
        <v>0</v>
      </c>
      <c r="AD39" s="10" t="n">
        <v>0</v>
      </c>
      <c r="AE39" s="10" t="n">
        <v>0</v>
      </c>
      <c r="AF39" s="10" t="n">
        <v>0</v>
      </c>
      <c r="AG39" s="10" t="n">
        <v>0</v>
      </c>
      <c r="AH39" s="10" t="n">
        <v>0</v>
      </c>
      <c r="AI39" s="10" t="n">
        <v>0</v>
      </c>
      <c r="AJ39" s="10" t="n">
        <v>0</v>
      </c>
      <c r="AK39" s="10" t="n">
        <v>0</v>
      </c>
      <c r="AL39" s="21" t="n">
        <f aca="false">J39+L39+N39+P39+R39+T39+V39+X39+Z39+AB39+AD39+AF39+AH39+AJ39</f>
        <v>3</v>
      </c>
      <c r="AM39" s="21" t="n">
        <f aca="false">J39+L39+N39+P39+R39+T39+V39+X39+Z39+AB39+AD39+AF39+AH39+AJ39</f>
        <v>3</v>
      </c>
      <c r="AN39" s="21" t="n">
        <f aca="false">AL39+AM39</f>
        <v>6</v>
      </c>
      <c r="AO39" s="10" t="n">
        <v>41</v>
      </c>
      <c r="AP39" s="10" t="n">
        <v>41</v>
      </c>
      <c r="AQ39" s="10" t="n">
        <v>5</v>
      </c>
      <c r="AR39" s="10" t="n">
        <v>26</v>
      </c>
      <c r="AS39" s="10" t="n">
        <v>0</v>
      </c>
      <c r="AT39" s="10" t="n">
        <v>0</v>
      </c>
      <c r="AU39" s="10" t="n">
        <v>26</v>
      </c>
      <c r="AV39" s="10" t="n">
        <v>19</v>
      </c>
      <c r="AW39" s="10" t="n">
        <v>0</v>
      </c>
      <c r="AX39" s="10" t="n">
        <v>0</v>
      </c>
      <c r="AY39" s="66" t="n">
        <v>0</v>
      </c>
    </row>
    <row r="40" customFormat="false" ht="15.75" hidden="false" customHeight="false" outlineLevel="0" collapsed="false">
      <c r="A40" s="15" t="s">
        <v>48</v>
      </c>
      <c r="B40" s="15"/>
      <c r="C40" s="31" t="n">
        <f aca="false">SUM(C34:C39)</f>
        <v>1651</v>
      </c>
      <c r="D40" s="31" t="n">
        <f aca="false">SUM(D34:D39)</f>
        <v>1636</v>
      </c>
      <c r="E40" s="31" t="n">
        <f aca="false">SUM(E34:E39)</f>
        <v>974</v>
      </c>
      <c r="F40" s="31" t="n">
        <f aca="false">SUM(F34:F39)</f>
        <v>1012</v>
      </c>
      <c r="G40" s="31" t="n">
        <f aca="false">SUM(G34:G39)</f>
        <v>237</v>
      </c>
      <c r="H40" s="31" t="n">
        <f aca="false">SUM(H34:H39)</f>
        <v>265</v>
      </c>
      <c r="I40" s="31" t="n">
        <f aca="false">SUM(I34:I39)</f>
        <v>2488</v>
      </c>
      <c r="J40" s="21" t="n">
        <f aca="false">SUM(J34:J39)</f>
        <v>0</v>
      </c>
      <c r="K40" s="21" t="n">
        <f aca="false">SUM(K34:K39)</f>
        <v>0</v>
      </c>
      <c r="L40" s="21" t="n">
        <f aca="false">SUM(L34:L39)</f>
        <v>0</v>
      </c>
      <c r="M40" s="21" t="n">
        <f aca="false">SUM(M34:M39)</f>
        <v>0</v>
      </c>
      <c r="N40" s="21" t="n">
        <f aca="false">SUM(N34:N39)</f>
        <v>0</v>
      </c>
      <c r="O40" s="21" t="n">
        <f aca="false">SUM(O34:O39)</f>
        <v>0</v>
      </c>
      <c r="P40" s="21" t="n">
        <f aca="false">SUM(P34:P39)</f>
        <v>21</v>
      </c>
      <c r="Q40" s="21" t="n">
        <f aca="false">SUM(Q34:Q39)</f>
        <v>24</v>
      </c>
      <c r="R40" s="21" t="n">
        <f aca="false">SUM(R34:R39)</f>
        <v>0</v>
      </c>
      <c r="S40" s="21" t="n">
        <f aca="false">SUM(S34:S39)</f>
        <v>0</v>
      </c>
      <c r="T40" s="21" t="n">
        <f aca="false">SUM(T34:T39)</f>
        <v>0</v>
      </c>
      <c r="U40" s="21" t="n">
        <f aca="false">SUM(U34:U39)</f>
        <v>0</v>
      </c>
      <c r="V40" s="21" t="n">
        <f aca="false">SUM(V34:V39)</f>
        <v>2</v>
      </c>
      <c r="W40" s="21" t="n">
        <f aca="false">SUM(W34:W39)</f>
        <v>1</v>
      </c>
      <c r="X40" s="21" t="n">
        <f aca="false">SUM(X34:X39)</f>
        <v>2</v>
      </c>
      <c r="Y40" s="21" t="n">
        <f aca="false">SUM(Y34:Y39)</f>
        <v>7</v>
      </c>
      <c r="Z40" s="21" t="n">
        <f aca="false">SUM(Z34:Z39)</f>
        <v>1</v>
      </c>
      <c r="AA40" s="21" t="n">
        <f aca="false">SUM(AA34:AA39)</f>
        <v>1</v>
      </c>
      <c r="AB40" s="21" t="n">
        <f aca="false">SUM(AB34:AB39)</f>
        <v>0</v>
      </c>
      <c r="AC40" s="21" t="n">
        <f aca="false">SUM(AC34:AC39)</f>
        <v>0</v>
      </c>
      <c r="AD40" s="21" t="n">
        <f aca="false">SUM(AD34:AD39)</f>
        <v>0</v>
      </c>
      <c r="AE40" s="21" t="n">
        <f aca="false">SUM(AE34:AE39)</f>
        <v>0</v>
      </c>
      <c r="AF40" s="21" t="n">
        <f aca="false">SUM(AF34:AF39)</f>
        <v>0</v>
      </c>
      <c r="AG40" s="21" t="n">
        <f aca="false">SUM(AG34:AG39)</f>
        <v>0</v>
      </c>
      <c r="AH40" s="21" t="n">
        <f aca="false">SUM(AH34:AH39)</f>
        <v>0</v>
      </c>
      <c r="AI40" s="21" t="n">
        <f aca="false">SUM(AI34:AI39)</f>
        <v>0</v>
      </c>
      <c r="AJ40" s="21" t="n">
        <f aca="false">SUM(AJ34:AJ39)</f>
        <v>0</v>
      </c>
      <c r="AK40" s="21" t="n">
        <f aca="false">SUM(AK34:AK39)</f>
        <v>0</v>
      </c>
      <c r="AL40" s="21" t="n">
        <f aca="false">SUM(AL34:AL39)</f>
        <v>26</v>
      </c>
      <c r="AM40" s="21" t="n">
        <f aca="false">SUM(AM34:AM39)</f>
        <v>26</v>
      </c>
      <c r="AN40" s="21" t="n">
        <f aca="false">SUM(AN34:AN39)</f>
        <v>52</v>
      </c>
      <c r="AO40" s="21" t="n">
        <f aca="false">SUM(AO34:AO39)</f>
        <v>358</v>
      </c>
      <c r="AP40" s="21" t="n">
        <f aca="false">SUM(AP34:AP39)</f>
        <v>348</v>
      </c>
      <c r="AQ40" s="21" t="n">
        <f aca="false">SUM(AQ34:AQ39)</f>
        <v>21</v>
      </c>
      <c r="AR40" s="21" t="n">
        <f aca="false">SUM(AR34:AR39)</f>
        <v>225</v>
      </c>
      <c r="AS40" s="21" t="n">
        <f aca="false">SUM(AS34:AS39)</f>
        <v>0</v>
      </c>
      <c r="AT40" s="21" t="n">
        <f aca="false">SUM(AT34:AT39)</f>
        <v>0</v>
      </c>
      <c r="AU40" s="21" t="n">
        <f aca="false">SUM(AU34:AU39)</f>
        <v>233</v>
      </c>
      <c r="AV40" s="21" t="n">
        <f aca="false">SUM(AV34:AV39)</f>
        <v>122</v>
      </c>
      <c r="AW40" s="21" t="n">
        <f aca="false">SUM(AW34:AW39)</f>
        <v>0</v>
      </c>
      <c r="AX40" s="21" t="n">
        <f aca="false">SUM(AX34:AX39)</f>
        <v>0</v>
      </c>
      <c r="AY40" s="67" t="n">
        <f aca="false">SUM(AY34:AY39)</f>
        <v>0</v>
      </c>
    </row>
    <row r="41" customFormat="false" ht="15.75" hidden="false" customHeight="false" outlineLevel="0" collapsed="false">
      <c r="AS41" s="54"/>
      <c r="AT41" s="55" t="s">
        <v>104</v>
      </c>
      <c r="AU41" s="55"/>
      <c r="AV41" s="55"/>
    </row>
    <row r="42" customFormat="false" ht="15.75" hidden="false" customHeight="false" outlineLevel="0" collapsed="false">
      <c r="C42" s="55"/>
      <c r="D42" s="55"/>
      <c r="E42" s="55"/>
      <c r="F42" s="55"/>
      <c r="G42" s="55"/>
      <c r="H42" s="55"/>
      <c r="I42" s="55"/>
      <c r="AS42" s="54"/>
    </row>
    <row r="43" customFormat="false" ht="15.75" hidden="false" customHeight="false" outlineLevel="0" collapsed="false">
      <c r="C43" s="55"/>
      <c r="D43" s="55"/>
      <c r="E43" s="55"/>
      <c r="F43" s="55"/>
      <c r="G43" s="55"/>
      <c r="H43" s="55"/>
      <c r="I43" s="55"/>
      <c r="AS43" s="54"/>
    </row>
    <row r="44" customFormat="false" ht="15.75" hidden="false" customHeight="false" outlineLevel="0" collapsed="false">
      <c r="AS44" s="54"/>
    </row>
    <row r="45" customFormat="false" ht="15.75" hidden="false" customHeight="false" outlineLevel="0" collapsed="false">
      <c r="A45" s="2" t="s">
        <v>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customFormat="false" ht="15.75" hidden="false" customHeight="false" outlineLevel="0" collapsed="false">
      <c r="A47" s="3" t="s">
        <v>67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customFormat="false" ht="15.75" hidden="false" customHeight="false" outlineLevel="0" collapsed="false">
      <c r="A48" s="3" t="s">
        <v>3</v>
      </c>
      <c r="B48" s="4" t="s">
        <v>68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customFormat="false" ht="15.75" hidden="false" customHeight="false" outlineLevel="0" collapsed="false">
      <c r="A49" s="3" t="s">
        <v>105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</row>
    <row r="50" customFormat="false" ht="15.75" hidden="false" customHeight="false" outlineLevel="0" collapsed="false">
      <c r="A50" s="4"/>
      <c r="B50" s="4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customFormat="false" ht="22.5" hidden="false" customHeight="true" outlineLevel="0" collapsed="false">
      <c r="A51" s="7" t="s">
        <v>7</v>
      </c>
      <c r="B51" s="8" t="s">
        <v>8</v>
      </c>
      <c r="C51" s="10" t="s">
        <v>14</v>
      </c>
      <c r="D51" s="10"/>
      <c r="E51" s="10"/>
      <c r="F51" s="10"/>
      <c r="G51" s="10"/>
      <c r="H51" s="11"/>
      <c r="I51" s="11"/>
      <c r="J51" s="7" t="s">
        <v>70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 t="s">
        <v>71</v>
      </c>
      <c r="AM51" s="8"/>
      <c r="AN51" s="8"/>
      <c r="AO51" s="7" t="s">
        <v>72</v>
      </c>
      <c r="AP51" s="7"/>
      <c r="AQ51" s="7"/>
      <c r="AR51" s="7" t="s">
        <v>73</v>
      </c>
      <c r="AS51" s="7"/>
      <c r="AT51" s="7"/>
      <c r="AU51" s="8" t="s">
        <v>74</v>
      </c>
      <c r="AV51" s="8" t="s">
        <v>75</v>
      </c>
      <c r="AW51" s="8" t="s">
        <v>76</v>
      </c>
      <c r="AX51" s="8" t="s">
        <v>77</v>
      </c>
      <c r="AY51" s="59" t="s">
        <v>78</v>
      </c>
    </row>
    <row r="52" customFormat="false" ht="15" hidden="false" customHeight="true" outlineLevel="0" collapsed="false">
      <c r="A52" s="7"/>
      <c r="B52" s="8"/>
      <c r="C52" s="7" t="s">
        <v>22</v>
      </c>
      <c r="D52" s="7"/>
      <c r="E52" s="7" t="s">
        <v>23</v>
      </c>
      <c r="F52" s="7"/>
      <c r="G52" s="7" t="s">
        <v>24</v>
      </c>
      <c r="H52" s="7"/>
      <c r="I52" s="8" t="s">
        <v>25</v>
      </c>
      <c r="J52" s="8" t="s">
        <v>79</v>
      </c>
      <c r="K52" s="8"/>
      <c r="L52" s="7" t="s">
        <v>80</v>
      </c>
      <c r="M52" s="7"/>
      <c r="N52" s="7"/>
      <c r="O52" s="7"/>
      <c r="P52" s="7" t="s">
        <v>81</v>
      </c>
      <c r="Q52" s="7"/>
      <c r="R52" s="7"/>
      <c r="S52" s="7"/>
      <c r="T52" s="8" t="s">
        <v>82</v>
      </c>
      <c r="U52" s="8"/>
      <c r="V52" s="8" t="s">
        <v>83</v>
      </c>
      <c r="W52" s="8"/>
      <c r="X52" s="8" t="s">
        <v>84</v>
      </c>
      <c r="Y52" s="8"/>
      <c r="Z52" s="8" t="s">
        <v>85</v>
      </c>
      <c r="AA52" s="8"/>
      <c r="AB52" s="8" t="s">
        <v>86</v>
      </c>
      <c r="AC52" s="8"/>
      <c r="AD52" s="8" t="s">
        <v>87</v>
      </c>
      <c r="AE52" s="8"/>
      <c r="AF52" s="8" t="s">
        <v>88</v>
      </c>
      <c r="AG52" s="8"/>
      <c r="AH52" s="8" t="s">
        <v>89</v>
      </c>
      <c r="AI52" s="8"/>
      <c r="AJ52" s="8" t="s">
        <v>90</v>
      </c>
      <c r="AK52" s="8"/>
      <c r="AL52" s="8"/>
      <c r="AM52" s="8"/>
      <c r="AN52" s="8"/>
      <c r="AO52" s="7" t="s">
        <v>91</v>
      </c>
      <c r="AP52" s="7" t="s">
        <v>92</v>
      </c>
      <c r="AQ52" s="7" t="s">
        <v>93</v>
      </c>
      <c r="AR52" s="7"/>
      <c r="AS52" s="7"/>
      <c r="AT52" s="7"/>
      <c r="AU52" s="8"/>
      <c r="AV52" s="8"/>
      <c r="AW52" s="8"/>
      <c r="AX52" s="8"/>
      <c r="AY52" s="59"/>
    </row>
    <row r="53" customFormat="false" ht="27" hidden="false" customHeight="true" outlineLevel="0" collapsed="false">
      <c r="A53" s="7"/>
      <c r="B53" s="8"/>
      <c r="C53" s="7" t="s">
        <v>29</v>
      </c>
      <c r="D53" s="7" t="s">
        <v>30</v>
      </c>
      <c r="E53" s="7" t="s">
        <v>29</v>
      </c>
      <c r="F53" s="7" t="s">
        <v>30</v>
      </c>
      <c r="G53" s="7" t="s">
        <v>29</v>
      </c>
      <c r="H53" s="7" t="s">
        <v>30</v>
      </c>
      <c r="I53" s="8"/>
      <c r="J53" s="8"/>
      <c r="K53" s="8"/>
      <c r="L53" s="7" t="s">
        <v>29</v>
      </c>
      <c r="M53" s="7"/>
      <c r="N53" s="7" t="s">
        <v>94</v>
      </c>
      <c r="O53" s="7"/>
      <c r="P53" s="7" t="s">
        <v>95</v>
      </c>
      <c r="Q53" s="7"/>
      <c r="R53" s="7" t="s">
        <v>96</v>
      </c>
      <c r="S53" s="7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7"/>
      <c r="AP53" s="7"/>
      <c r="AQ53" s="7"/>
      <c r="AR53" s="60" t="s">
        <v>97</v>
      </c>
      <c r="AS53" s="60" t="s">
        <v>98</v>
      </c>
      <c r="AT53" s="60" t="s">
        <v>99</v>
      </c>
      <c r="AU53" s="8"/>
      <c r="AV53" s="8"/>
      <c r="AW53" s="8"/>
      <c r="AX53" s="8"/>
      <c r="AY53" s="59"/>
    </row>
    <row r="54" customFormat="false" ht="60.75" hidden="false" customHeight="true" outlineLevel="0" collapsed="false">
      <c r="A54" s="7"/>
      <c r="B54" s="8"/>
      <c r="C54" s="7"/>
      <c r="D54" s="7"/>
      <c r="E54" s="7"/>
      <c r="F54" s="7"/>
      <c r="G54" s="7"/>
      <c r="H54" s="7"/>
      <c r="I54" s="8"/>
      <c r="J54" s="8" t="s">
        <v>29</v>
      </c>
      <c r="K54" s="8" t="s">
        <v>30</v>
      </c>
      <c r="L54" s="8" t="s">
        <v>29</v>
      </c>
      <c r="M54" s="8" t="s">
        <v>30</v>
      </c>
      <c r="N54" s="8" t="s">
        <v>29</v>
      </c>
      <c r="O54" s="8" t="s">
        <v>30</v>
      </c>
      <c r="P54" s="8" t="s">
        <v>29</v>
      </c>
      <c r="Q54" s="8" t="s">
        <v>30</v>
      </c>
      <c r="R54" s="8" t="s">
        <v>29</v>
      </c>
      <c r="S54" s="8" t="s">
        <v>30</v>
      </c>
      <c r="T54" s="8" t="s">
        <v>29</v>
      </c>
      <c r="U54" s="8" t="s">
        <v>30</v>
      </c>
      <c r="V54" s="8" t="s">
        <v>29</v>
      </c>
      <c r="W54" s="8" t="s">
        <v>30</v>
      </c>
      <c r="X54" s="8" t="s">
        <v>29</v>
      </c>
      <c r="Y54" s="8" t="s">
        <v>30</v>
      </c>
      <c r="Z54" s="8" t="s">
        <v>29</v>
      </c>
      <c r="AA54" s="8" t="s">
        <v>30</v>
      </c>
      <c r="AB54" s="8" t="s">
        <v>29</v>
      </c>
      <c r="AC54" s="8" t="s">
        <v>30</v>
      </c>
      <c r="AD54" s="8" t="s">
        <v>29</v>
      </c>
      <c r="AE54" s="8" t="s">
        <v>30</v>
      </c>
      <c r="AF54" s="8" t="s">
        <v>29</v>
      </c>
      <c r="AG54" s="8" t="s">
        <v>30</v>
      </c>
      <c r="AH54" s="8" t="s">
        <v>29</v>
      </c>
      <c r="AI54" s="8" t="s">
        <v>30</v>
      </c>
      <c r="AJ54" s="8" t="s">
        <v>29</v>
      </c>
      <c r="AK54" s="8" t="s">
        <v>30</v>
      </c>
      <c r="AL54" s="8" t="s">
        <v>29</v>
      </c>
      <c r="AM54" s="8" t="s">
        <v>30</v>
      </c>
      <c r="AN54" s="8" t="s">
        <v>31</v>
      </c>
      <c r="AO54" s="7"/>
      <c r="AP54" s="7"/>
      <c r="AQ54" s="7"/>
      <c r="AR54" s="60"/>
      <c r="AS54" s="60"/>
      <c r="AT54" s="60"/>
      <c r="AU54" s="8"/>
      <c r="AV54" s="8"/>
      <c r="AW54" s="8"/>
      <c r="AX54" s="8"/>
      <c r="AY54" s="59"/>
    </row>
    <row r="55" s="26" customFormat="true" ht="13.5" hidden="false" customHeight="true" outlineLevel="0" collapsed="false">
      <c r="A55" s="22" t="n">
        <v>1</v>
      </c>
      <c r="B55" s="23" t="n">
        <v>2</v>
      </c>
      <c r="C55" s="24" t="n">
        <v>3</v>
      </c>
      <c r="D55" s="24"/>
      <c r="E55" s="24"/>
      <c r="F55" s="24"/>
      <c r="G55" s="24"/>
      <c r="H55" s="24"/>
      <c r="I55" s="61" t="n">
        <v>4</v>
      </c>
      <c r="J55" s="24" t="n">
        <v>5</v>
      </c>
      <c r="K55" s="24"/>
      <c r="L55" s="24" t="n">
        <v>6</v>
      </c>
      <c r="M55" s="24"/>
      <c r="N55" s="24"/>
      <c r="O55" s="24"/>
      <c r="P55" s="24" t="n">
        <v>7</v>
      </c>
      <c r="Q55" s="24"/>
      <c r="R55" s="24"/>
      <c r="S55" s="24"/>
      <c r="T55" s="24" t="n">
        <v>8</v>
      </c>
      <c r="U55" s="24"/>
      <c r="V55" s="24" t="n">
        <v>9</v>
      </c>
      <c r="W55" s="24"/>
      <c r="X55" s="24" t="n">
        <f aca="false">+V55+1</f>
        <v>10</v>
      </c>
      <c r="Y55" s="24"/>
      <c r="Z55" s="24" t="n">
        <f aca="false">+X55+1</f>
        <v>11</v>
      </c>
      <c r="AA55" s="24"/>
      <c r="AB55" s="24" t="n">
        <f aca="false">+Z55+1</f>
        <v>12</v>
      </c>
      <c r="AC55" s="24"/>
      <c r="AD55" s="24" t="n">
        <f aca="false">+AB55+1</f>
        <v>13</v>
      </c>
      <c r="AE55" s="24"/>
      <c r="AF55" s="24" t="n">
        <f aca="false">+AD55+1</f>
        <v>14</v>
      </c>
      <c r="AG55" s="24"/>
      <c r="AH55" s="24" t="n">
        <f aca="false">+AF55+1</f>
        <v>15</v>
      </c>
      <c r="AI55" s="24"/>
      <c r="AJ55" s="24" t="n">
        <f aca="false">+AH55+1</f>
        <v>16</v>
      </c>
      <c r="AK55" s="24"/>
      <c r="AL55" s="24" t="n">
        <f aca="false">+AJ55+1</f>
        <v>17</v>
      </c>
      <c r="AM55" s="24"/>
      <c r="AN55" s="24"/>
      <c r="AO55" s="23" t="n">
        <v>18</v>
      </c>
      <c r="AP55" s="23"/>
      <c r="AQ55" s="23"/>
      <c r="AR55" s="62" t="n">
        <v>19</v>
      </c>
      <c r="AS55" s="62"/>
      <c r="AT55" s="62"/>
      <c r="AU55" s="63" t="n">
        <v>20</v>
      </c>
      <c r="AV55" s="24" t="n">
        <v>21</v>
      </c>
      <c r="AW55" s="24" t="n">
        <v>22</v>
      </c>
      <c r="AX55" s="24" t="n">
        <v>23</v>
      </c>
      <c r="AY55" s="23" t="n">
        <v>24</v>
      </c>
      <c r="AZ55" s="64"/>
    </row>
    <row r="56" s="41" customFormat="true" ht="32.25" hidden="false" customHeight="true" outlineLevel="0" collapsed="false">
      <c r="A56" s="27" t="n">
        <v>1</v>
      </c>
      <c r="B56" s="28" t="s">
        <v>42</v>
      </c>
      <c r="C56" s="29" t="n">
        <v>443</v>
      </c>
      <c r="D56" s="29" t="n">
        <v>437</v>
      </c>
      <c r="E56" s="30" t="n">
        <v>272</v>
      </c>
      <c r="F56" s="30" t="n">
        <v>276</v>
      </c>
      <c r="G56" s="30" t="n">
        <v>17</v>
      </c>
      <c r="H56" s="30" t="n">
        <v>18</v>
      </c>
      <c r="I56" s="31" t="n">
        <f aca="false">E56+F56+G56+H56</f>
        <v>583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3</v>
      </c>
      <c r="Q56" s="10" t="n">
        <v>4</v>
      </c>
      <c r="R56" s="10" t="n">
        <v>1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2</v>
      </c>
      <c r="Y56" s="10" t="n">
        <v>1</v>
      </c>
      <c r="Z56" s="10" t="n">
        <v>0</v>
      </c>
      <c r="AA56" s="10" t="n">
        <v>0</v>
      </c>
      <c r="AB56" s="10" t="n">
        <v>0</v>
      </c>
      <c r="AC56" s="10" t="n">
        <v>0</v>
      </c>
      <c r="AD56" s="10" t="n">
        <v>0</v>
      </c>
      <c r="AE56" s="10" t="n">
        <v>0</v>
      </c>
      <c r="AF56" s="10" t="n">
        <v>1</v>
      </c>
      <c r="AG56" s="10" t="n">
        <v>2</v>
      </c>
      <c r="AH56" s="10" t="n">
        <v>0</v>
      </c>
      <c r="AI56" s="10" t="n">
        <v>0</v>
      </c>
      <c r="AJ56" s="10" t="n">
        <v>0</v>
      </c>
      <c r="AK56" s="10" t="n">
        <v>0</v>
      </c>
      <c r="AL56" s="21" t="n">
        <f aca="false">J56+L56+N56+P56+R56+T56+V56+X56+Z56+AB56+AD56+AF56+AH56+AJ56</f>
        <v>7</v>
      </c>
      <c r="AM56" s="21" t="n">
        <f aca="false">J56+L56+N56+P56+R56+T56+V56+X56+Z56+AB56+AD56+AF56+AH56+AJ56</f>
        <v>7</v>
      </c>
      <c r="AN56" s="21" t="n">
        <f aca="false">AL56+AM56</f>
        <v>14</v>
      </c>
      <c r="AO56" s="10" t="n">
        <v>54</v>
      </c>
      <c r="AP56" s="10" t="n">
        <v>42</v>
      </c>
      <c r="AQ56" s="10" t="n">
        <v>5</v>
      </c>
      <c r="AR56" s="65" t="n">
        <v>54</v>
      </c>
      <c r="AS56" s="65" t="n">
        <v>0</v>
      </c>
      <c r="AT56" s="65" t="n">
        <v>0</v>
      </c>
      <c r="AU56" s="10" t="n">
        <v>54</v>
      </c>
      <c r="AV56" s="10" t="n">
        <v>28</v>
      </c>
      <c r="AW56" s="10" t="n">
        <v>0</v>
      </c>
      <c r="AX56" s="10" t="n">
        <v>0</v>
      </c>
      <c r="AY56" s="66" t="n">
        <v>0</v>
      </c>
    </row>
    <row r="57" s="41" customFormat="true" ht="32.25" hidden="false" customHeight="true" outlineLevel="0" collapsed="false">
      <c r="A57" s="27" t="n">
        <v>2</v>
      </c>
      <c r="B57" s="28" t="s">
        <v>43</v>
      </c>
      <c r="C57" s="29" t="n">
        <v>255</v>
      </c>
      <c r="D57" s="29" t="n">
        <v>252</v>
      </c>
      <c r="E57" s="30" t="n">
        <v>163</v>
      </c>
      <c r="F57" s="30" t="n">
        <v>169</v>
      </c>
      <c r="G57" s="30" t="n">
        <v>64</v>
      </c>
      <c r="H57" s="30" t="n">
        <v>63</v>
      </c>
      <c r="I57" s="31" t="n">
        <f aca="false">E57+F57+G57+H57</f>
        <v>459</v>
      </c>
      <c r="J57" s="10" t="n">
        <v>0</v>
      </c>
      <c r="K57" s="10" t="n">
        <v>0</v>
      </c>
      <c r="L57" s="10" t="n">
        <v>0</v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1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3</v>
      </c>
      <c r="Z57" s="10" t="n">
        <v>0</v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2</v>
      </c>
      <c r="AG57" s="10" t="n">
        <v>3</v>
      </c>
      <c r="AH57" s="10" t="n">
        <v>0</v>
      </c>
      <c r="AI57" s="10" t="n">
        <v>0</v>
      </c>
      <c r="AJ57" s="10" t="n">
        <v>0</v>
      </c>
      <c r="AK57" s="10" t="n">
        <v>0</v>
      </c>
      <c r="AL57" s="21" t="n">
        <f aca="false">J57+L57+N57+P57+R57+T57+V57+X57+Z57+AB57+AD57+AF57+AH57+AJ57</f>
        <v>2</v>
      </c>
      <c r="AM57" s="21" t="n">
        <f aca="false">J57+L57+N57+P57+R57+T57+V57+X57+Z57+AB57+AD57+AF57+AH57+AJ57</f>
        <v>2</v>
      </c>
      <c r="AN57" s="21" t="n">
        <f aca="false">AL57+AM57</f>
        <v>4</v>
      </c>
      <c r="AO57" s="10" t="n">
        <v>31</v>
      </c>
      <c r="AP57" s="10" t="n">
        <v>20</v>
      </c>
      <c r="AQ57" s="10" t="n">
        <v>4</v>
      </c>
      <c r="AR57" s="10" t="n">
        <v>31</v>
      </c>
      <c r="AS57" s="10" t="n">
        <v>0</v>
      </c>
      <c r="AT57" s="10" t="n">
        <v>0</v>
      </c>
      <c r="AU57" s="10" t="n">
        <v>31</v>
      </c>
      <c r="AV57" s="10" t="n">
        <v>20</v>
      </c>
      <c r="AW57" s="10" t="n">
        <v>0</v>
      </c>
      <c r="AX57" s="10" t="n">
        <v>0</v>
      </c>
      <c r="AY57" s="66" t="n">
        <v>0</v>
      </c>
    </row>
    <row r="58" s="41" customFormat="true" ht="32.25" hidden="false" customHeight="true" outlineLevel="0" collapsed="false">
      <c r="A58" s="27" t="n">
        <v>3</v>
      </c>
      <c r="B58" s="28" t="s">
        <v>100</v>
      </c>
      <c r="C58" s="29" t="n">
        <v>315</v>
      </c>
      <c r="D58" s="29" t="n">
        <v>312</v>
      </c>
      <c r="E58" s="30" t="n">
        <v>198</v>
      </c>
      <c r="F58" s="30" t="n">
        <v>202</v>
      </c>
      <c r="G58" s="30" t="n">
        <v>52</v>
      </c>
      <c r="H58" s="30" t="n">
        <v>55</v>
      </c>
      <c r="I58" s="31" t="n">
        <f aca="false">E58+F58+G58+H58</f>
        <v>507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1</v>
      </c>
      <c r="R58" s="10" t="n">
        <v>0</v>
      </c>
      <c r="S58" s="10" t="n">
        <v>1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3</v>
      </c>
      <c r="Z58" s="10" t="n">
        <v>0</v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21" t="n">
        <f aca="false">J58+L58+N58+P58+R58+T58+V58+X58+Z58+AB58+AD58+AF58+AH58+AJ58</f>
        <v>0</v>
      </c>
      <c r="AM58" s="21" t="n">
        <f aca="false">J58+L58+N58+P58+R58+T58+V58+X58+Z58+AB58+AD58+AF58+AH58+AJ58</f>
        <v>0</v>
      </c>
      <c r="AN58" s="21" t="n">
        <f aca="false">AL58+AM58</f>
        <v>0</v>
      </c>
      <c r="AO58" s="10" t="n">
        <v>26</v>
      </c>
      <c r="AP58" s="10" t="n">
        <v>8</v>
      </c>
      <c r="AQ58" s="10" t="n">
        <v>5</v>
      </c>
      <c r="AR58" s="10" t="n">
        <v>26</v>
      </c>
      <c r="AS58" s="10" t="n">
        <v>0</v>
      </c>
      <c r="AT58" s="10" t="n">
        <v>0</v>
      </c>
      <c r="AU58" s="10" t="n">
        <v>26</v>
      </c>
      <c r="AV58" s="10" t="n">
        <v>12</v>
      </c>
      <c r="AW58" s="10" t="n">
        <v>0</v>
      </c>
      <c r="AX58" s="10" t="n">
        <v>0</v>
      </c>
      <c r="AY58" s="59" t="n">
        <v>0</v>
      </c>
    </row>
    <row r="59" s="41" customFormat="true" ht="32.25" hidden="false" customHeight="true" outlineLevel="0" collapsed="false">
      <c r="A59" s="27" t="n">
        <v>4</v>
      </c>
      <c r="B59" s="28" t="s">
        <v>101</v>
      </c>
      <c r="C59" s="29" t="n">
        <v>201</v>
      </c>
      <c r="D59" s="29" t="n">
        <v>199</v>
      </c>
      <c r="E59" s="30" t="n">
        <v>121</v>
      </c>
      <c r="F59" s="30" t="n">
        <v>125</v>
      </c>
      <c r="G59" s="30" t="n">
        <v>26</v>
      </c>
      <c r="H59" s="30" t="n">
        <v>33</v>
      </c>
      <c r="I59" s="31" t="n">
        <f aca="false">E59+F59+G59+H59</f>
        <v>305</v>
      </c>
      <c r="J59" s="10" t="n">
        <v>0</v>
      </c>
      <c r="K59" s="10" t="n">
        <v>0</v>
      </c>
      <c r="L59" s="10" t="n">
        <v>0</v>
      </c>
      <c r="M59" s="10" t="n">
        <v>0</v>
      </c>
      <c r="N59" s="10" t="n">
        <v>0</v>
      </c>
      <c r="O59" s="10" t="n">
        <v>0</v>
      </c>
      <c r="P59" s="10" t="n">
        <v>3</v>
      </c>
      <c r="Q59" s="10" t="n">
        <v>3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2</v>
      </c>
      <c r="W59" s="10" t="n">
        <v>2</v>
      </c>
      <c r="X59" s="10" t="n">
        <v>2</v>
      </c>
      <c r="Y59" s="10" t="n">
        <v>2</v>
      </c>
      <c r="Z59" s="10" t="n">
        <v>0</v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1</v>
      </c>
      <c r="AG59" s="10" t="n">
        <v>1</v>
      </c>
      <c r="AH59" s="10" t="n">
        <v>0</v>
      </c>
      <c r="AI59" s="10" t="n">
        <v>0</v>
      </c>
      <c r="AJ59" s="10" t="n">
        <v>0</v>
      </c>
      <c r="AK59" s="10" t="n">
        <v>0</v>
      </c>
      <c r="AL59" s="21" t="n">
        <f aca="false">J59+L59+N59+P59+R59+T59+V59+X59+Z59+AB59+AD59+AF59+AH59+AJ59</f>
        <v>8</v>
      </c>
      <c r="AM59" s="21" t="n">
        <f aca="false">J59+L59+N59+P59+R59+T59+V59+X59+Z59+AB59+AD59+AF59+AH59+AJ59</f>
        <v>8</v>
      </c>
      <c r="AN59" s="21" t="n">
        <f aca="false">AL59+AM59</f>
        <v>16</v>
      </c>
      <c r="AO59" s="10" t="n">
        <v>25</v>
      </c>
      <c r="AP59" s="10" t="n">
        <v>10</v>
      </c>
      <c r="AQ59" s="10" t="n">
        <v>2</v>
      </c>
      <c r="AR59" s="10" t="n">
        <v>25</v>
      </c>
      <c r="AS59" s="10" t="n">
        <v>0</v>
      </c>
      <c r="AT59" s="10" t="n">
        <v>0</v>
      </c>
      <c r="AU59" s="10" t="n">
        <v>25</v>
      </c>
      <c r="AV59" s="10" t="n">
        <v>15</v>
      </c>
      <c r="AW59" s="10" t="n">
        <v>0</v>
      </c>
      <c r="AX59" s="10" t="n">
        <v>0</v>
      </c>
      <c r="AY59" s="66" t="n">
        <v>0</v>
      </c>
    </row>
    <row r="60" s="41" customFormat="true" ht="32.25" hidden="false" customHeight="true" outlineLevel="0" collapsed="false">
      <c r="A60" s="27" t="n">
        <v>5</v>
      </c>
      <c r="B60" s="28" t="s">
        <v>102</v>
      </c>
      <c r="C60" s="29" t="n">
        <v>238</v>
      </c>
      <c r="D60" s="29" t="n">
        <v>239</v>
      </c>
      <c r="E60" s="30" t="n">
        <v>95</v>
      </c>
      <c r="F60" s="30" t="n">
        <v>114</v>
      </c>
      <c r="G60" s="30" t="n">
        <v>55</v>
      </c>
      <c r="H60" s="30" t="n">
        <v>67</v>
      </c>
      <c r="I60" s="31" t="n">
        <f aca="false">SUM(E60:H60)</f>
        <v>331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5</v>
      </c>
      <c r="R60" s="10" t="n">
        <v>0</v>
      </c>
      <c r="S60" s="10" t="n">
        <v>1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2</v>
      </c>
      <c r="Z60" s="10" t="n">
        <v>0</v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1</v>
      </c>
      <c r="AG60" s="10" t="n">
        <v>2</v>
      </c>
      <c r="AH60" s="10" t="n">
        <v>0</v>
      </c>
      <c r="AI60" s="10" t="n">
        <v>0</v>
      </c>
      <c r="AJ60" s="10" t="n">
        <v>0</v>
      </c>
      <c r="AK60" s="10" t="n">
        <v>0</v>
      </c>
      <c r="AL60" s="21" t="n">
        <f aca="false">J60+L60+N60+P60+R60+T60+V60+X60+Z60+AB60+AD60+AF60+AH60+AJ60</f>
        <v>1</v>
      </c>
      <c r="AM60" s="21" t="n">
        <f aca="false">J60+L60+N60+P60+R60+T60+V60+X60+Z60+AB60+AD60+AF60+AH60+AJ60</f>
        <v>1</v>
      </c>
      <c r="AN60" s="21" t="n">
        <f aca="false">AL60+AM60</f>
        <v>2</v>
      </c>
      <c r="AO60" s="10" t="n">
        <v>33</v>
      </c>
      <c r="AP60" s="10" t="n">
        <v>12</v>
      </c>
      <c r="AQ60" s="10" t="n">
        <v>0</v>
      </c>
      <c r="AR60" s="10" t="n">
        <v>33</v>
      </c>
      <c r="AS60" s="10" t="n">
        <v>0</v>
      </c>
      <c r="AT60" s="10" t="n">
        <v>0</v>
      </c>
      <c r="AU60" s="10" t="n">
        <v>33</v>
      </c>
      <c r="AV60" s="10" t="n">
        <v>28</v>
      </c>
      <c r="AW60" s="10" t="n">
        <v>0</v>
      </c>
      <c r="AX60" s="10" t="n">
        <v>0</v>
      </c>
      <c r="AY60" s="66" t="n">
        <v>0</v>
      </c>
    </row>
    <row r="61" s="46" customFormat="true" ht="36.75" hidden="false" customHeight="true" outlineLevel="0" collapsed="false">
      <c r="A61" s="27" t="n">
        <v>6</v>
      </c>
      <c r="B61" s="28" t="s">
        <v>47</v>
      </c>
      <c r="C61" s="29" t="n">
        <v>199</v>
      </c>
      <c r="D61" s="29" t="n">
        <v>197</v>
      </c>
      <c r="E61" s="30" t="n">
        <v>125</v>
      </c>
      <c r="F61" s="30" t="n">
        <v>126</v>
      </c>
      <c r="G61" s="30" t="n">
        <v>23</v>
      </c>
      <c r="H61" s="30" t="n">
        <v>29</v>
      </c>
      <c r="I61" s="31" t="n">
        <f aca="false">E61+F61+G61+H61</f>
        <v>303</v>
      </c>
      <c r="J61" s="10" t="n">
        <v>0</v>
      </c>
      <c r="K61" s="10" t="n">
        <v>0</v>
      </c>
      <c r="L61" s="10" t="n">
        <v>0</v>
      </c>
      <c r="M61" s="10" t="n">
        <v>0</v>
      </c>
      <c r="N61" s="10" t="n">
        <v>0</v>
      </c>
      <c r="O61" s="10" t="n">
        <v>0</v>
      </c>
      <c r="P61" s="10" t="n">
        <v>2</v>
      </c>
      <c r="Q61" s="10" t="n">
        <v>2</v>
      </c>
      <c r="R61" s="10" t="n">
        <v>0</v>
      </c>
      <c r="S61" s="10" t="n">
        <v>1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2</v>
      </c>
      <c r="Z61" s="10" t="n">
        <v>0</v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21" t="n">
        <f aca="false">J61+L61+N61+P61+R61+T61+V61+X61+Z61+AB61+AD61+AF61+AH61+AJ61</f>
        <v>2</v>
      </c>
      <c r="AM61" s="21" t="n">
        <f aca="false">J61+L61+N61+P61+R61+T61+V61+X61+Z61+AB61+AD61+AF61+AH61+AJ61</f>
        <v>2</v>
      </c>
      <c r="AN61" s="21" t="n">
        <f aca="false">AL61+AM61</f>
        <v>4</v>
      </c>
      <c r="AO61" s="10" t="n">
        <v>21</v>
      </c>
      <c r="AP61" s="10" t="n">
        <v>8</v>
      </c>
      <c r="AQ61" s="10" t="n">
        <v>5</v>
      </c>
      <c r="AR61" s="10" t="n">
        <v>21</v>
      </c>
      <c r="AS61" s="10" t="n">
        <v>0</v>
      </c>
      <c r="AT61" s="10" t="n">
        <v>0</v>
      </c>
      <c r="AU61" s="10" t="n">
        <v>21</v>
      </c>
      <c r="AV61" s="10" t="n">
        <v>19</v>
      </c>
      <c r="AW61" s="10" t="n">
        <v>0</v>
      </c>
      <c r="AX61" s="10" t="n">
        <v>0</v>
      </c>
      <c r="AY61" s="66" t="n">
        <v>0</v>
      </c>
    </row>
    <row r="62" customFormat="false" ht="15.75" hidden="false" customHeight="false" outlineLevel="0" collapsed="false">
      <c r="A62" s="15" t="s">
        <v>48</v>
      </c>
      <c r="B62" s="15"/>
      <c r="C62" s="31" t="n">
        <f aca="false">SUM(C56:C61)</f>
        <v>1651</v>
      </c>
      <c r="D62" s="31" t="n">
        <f aca="false">SUM(D56:D61)</f>
        <v>1636</v>
      </c>
      <c r="E62" s="31" t="n">
        <f aca="false">SUM(E56:E61)</f>
        <v>974</v>
      </c>
      <c r="F62" s="31" t="n">
        <f aca="false">SUM(F56:F61)</f>
        <v>1012</v>
      </c>
      <c r="G62" s="31" t="n">
        <f aca="false">SUM(G56:G61)</f>
        <v>237</v>
      </c>
      <c r="H62" s="31" t="n">
        <f aca="false">SUM(H56:H61)</f>
        <v>265</v>
      </c>
      <c r="I62" s="31" t="n">
        <f aca="false">SUM(I56:I61)</f>
        <v>2488</v>
      </c>
      <c r="J62" s="21" t="n">
        <f aca="false">SUM(J56:J61)</f>
        <v>0</v>
      </c>
      <c r="K62" s="21" t="n">
        <f aca="false">SUM(K56:K61)</f>
        <v>0</v>
      </c>
      <c r="L62" s="21" t="n">
        <f aca="false">SUM(L56:L61)</f>
        <v>0</v>
      </c>
      <c r="M62" s="21" t="n">
        <f aca="false">SUM(M56:M61)</f>
        <v>0</v>
      </c>
      <c r="N62" s="21" t="n">
        <f aca="false">SUM(N56:N61)</f>
        <v>0</v>
      </c>
      <c r="O62" s="21" t="n">
        <f aca="false">SUM(O56:O61)</f>
        <v>0</v>
      </c>
      <c r="P62" s="21" t="n">
        <f aca="false">SUM(P56:P61)</f>
        <v>8</v>
      </c>
      <c r="Q62" s="21" t="n">
        <f aca="false">SUM(Q56:Q61)</f>
        <v>15</v>
      </c>
      <c r="R62" s="21" t="n">
        <f aca="false">SUM(R56:R61)</f>
        <v>1</v>
      </c>
      <c r="S62" s="21" t="n">
        <f aca="false">SUM(S56:S61)</f>
        <v>4</v>
      </c>
      <c r="T62" s="21" t="n">
        <f aca="false">SUM(T56:T61)</f>
        <v>0</v>
      </c>
      <c r="U62" s="21" t="n">
        <f aca="false">SUM(U56:U61)</f>
        <v>0</v>
      </c>
      <c r="V62" s="21" t="n">
        <f aca="false">SUM(V56:V61)</f>
        <v>2</v>
      </c>
      <c r="W62" s="21" t="n">
        <f aca="false">SUM(W56:W61)</f>
        <v>2</v>
      </c>
      <c r="X62" s="21" t="n">
        <f aca="false">SUM(X56:X61)</f>
        <v>4</v>
      </c>
      <c r="Y62" s="21" t="n">
        <f aca="false">SUM(Y56:Y61)</f>
        <v>13</v>
      </c>
      <c r="Z62" s="21" t="n">
        <f aca="false">SUM(Z56:Z61)</f>
        <v>0</v>
      </c>
      <c r="AA62" s="21" t="n">
        <f aca="false">SUM(AA56:AA61)</f>
        <v>0</v>
      </c>
      <c r="AB62" s="21" t="n">
        <f aca="false">SUM(AB56:AB61)</f>
        <v>0</v>
      </c>
      <c r="AC62" s="21" t="n">
        <f aca="false">SUM(AC56:AC61)</f>
        <v>0</v>
      </c>
      <c r="AD62" s="21" t="n">
        <f aca="false">SUM(AD56:AD61)</f>
        <v>0</v>
      </c>
      <c r="AE62" s="21" t="n">
        <f aca="false">SUM(AE56:AE61)</f>
        <v>0</v>
      </c>
      <c r="AF62" s="21" t="n">
        <f aca="false">SUM(AF56:AF61)</f>
        <v>5</v>
      </c>
      <c r="AG62" s="21" t="n">
        <f aca="false">SUM(AG56:AG61)</f>
        <v>8</v>
      </c>
      <c r="AH62" s="21" t="n">
        <f aca="false">SUM(AH56:AH61)</f>
        <v>0</v>
      </c>
      <c r="AI62" s="21" t="n">
        <f aca="false">SUM(AI56:AI61)</f>
        <v>0</v>
      </c>
      <c r="AJ62" s="21" t="n">
        <f aca="false">SUM(AJ56:AJ61)</f>
        <v>0</v>
      </c>
      <c r="AK62" s="21" t="n">
        <f aca="false">SUM(AK56:AK61)</f>
        <v>0</v>
      </c>
      <c r="AL62" s="21" t="n">
        <f aca="false">SUM(AL56:AL61)</f>
        <v>20</v>
      </c>
      <c r="AM62" s="21" t="n">
        <f aca="false">SUM(AM56:AM61)</f>
        <v>20</v>
      </c>
      <c r="AN62" s="21" t="n">
        <f aca="false">SUM(AN56:AN61)</f>
        <v>40</v>
      </c>
      <c r="AO62" s="21" t="n">
        <f aca="false">SUM(AO56:AO61)</f>
        <v>190</v>
      </c>
      <c r="AP62" s="21" t="n">
        <f aca="false">SUM(AP56:AP61)</f>
        <v>100</v>
      </c>
      <c r="AQ62" s="21" t="n">
        <f aca="false">SUM(AQ56:AQ61)</f>
        <v>21</v>
      </c>
      <c r="AR62" s="21" t="n">
        <f aca="false">SUM(AR56:AR61)</f>
        <v>190</v>
      </c>
      <c r="AS62" s="21" t="n">
        <f aca="false">SUM(AS56:AS61)</f>
        <v>0</v>
      </c>
      <c r="AT62" s="21" t="n">
        <f aca="false">SUM(AT56:AT61)</f>
        <v>0</v>
      </c>
      <c r="AU62" s="21" t="n">
        <f aca="false">SUM(AU56:AU61)</f>
        <v>190</v>
      </c>
      <c r="AV62" s="21" t="n">
        <f aca="false">SUM(AV56:AV61)</f>
        <v>122</v>
      </c>
      <c r="AW62" s="21" t="n">
        <f aca="false">SUM(AW56:AW61)</f>
        <v>0</v>
      </c>
      <c r="AX62" s="21" t="n">
        <f aca="false">SUM(AX56:AX61)</f>
        <v>0</v>
      </c>
      <c r="AY62" s="67" t="n">
        <f aca="false">SUM(AY56:AY61)</f>
        <v>0</v>
      </c>
    </row>
    <row r="63" customFormat="false" ht="15.75" hidden="false" customHeight="false" outlineLevel="0" collapsed="false">
      <c r="AS63" s="54"/>
      <c r="AT63" s="55" t="s">
        <v>104</v>
      </c>
      <c r="AU63" s="55"/>
      <c r="AV63" s="55"/>
    </row>
    <row r="64" customFormat="false" ht="15.75" hidden="false" customHeight="false" outlineLevel="0" collapsed="false">
      <c r="C64" s="55"/>
      <c r="D64" s="55"/>
      <c r="E64" s="55"/>
      <c r="F64" s="55"/>
      <c r="G64" s="55"/>
      <c r="H64" s="55"/>
      <c r="I64" s="55"/>
      <c r="AS64" s="54"/>
    </row>
    <row r="65" customFormat="false" ht="15.75" hidden="false" customHeight="false" outlineLevel="0" collapsed="false">
      <c r="C65" s="55"/>
      <c r="D65" s="55"/>
      <c r="E65" s="55"/>
      <c r="F65" s="55"/>
      <c r="G65" s="55"/>
      <c r="H65" s="55"/>
      <c r="I65" s="55"/>
      <c r="AS65" s="54"/>
    </row>
    <row r="66" customFormat="false" ht="15.75" hidden="false" customHeight="false" outlineLevel="0" collapsed="false">
      <c r="AS66" s="54"/>
    </row>
    <row r="67" customFormat="false" ht="15.75" hidden="false" customHeight="false" outlineLevel="0" collapsed="false">
      <c r="A67" s="2" t="s">
        <v>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customFormat="false" ht="15.75" hidden="false" customHeight="false" outlineLevel="0" collapsed="false">
      <c r="A69" s="3" t="s">
        <v>67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customFormat="false" ht="15.75" hidden="false" customHeight="false" outlineLevel="0" collapsed="false">
      <c r="A70" s="3" t="s">
        <v>3</v>
      </c>
      <c r="B70" s="4" t="s">
        <v>68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customFormat="false" ht="15.75" hidden="false" customHeight="false" outlineLevel="0" collapsed="false">
      <c r="A71" s="3" t="s">
        <v>106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customFormat="false" ht="15.75" hidden="false" customHeight="false" outlineLevel="0" collapsed="false">
      <c r="A72" s="4"/>
      <c r="B72" s="4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customFormat="false" ht="22.5" hidden="false" customHeight="true" outlineLevel="0" collapsed="false">
      <c r="A73" s="7" t="s">
        <v>7</v>
      </c>
      <c r="B73" s="8" t="s">
        <v>8</v>
      </c>
      <c r="C73" s="10" t="s">
        <v>14</v>
      </c>
      <c r="D73" s="10"/>
      <c r="E73" s="10"/>
      <c r="F73" s="10"/>
      <c r="G73" s="10"/>
      <c r="H73" s="11"/>
      <c r="I73" s="11"/>
      <c r="J73" s="7" t="s">
        <v>70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8" t="s">
        <v>71</v>
      </c>
      <c r="AM73" s="8"/>
      <c r="AN73" s="8"/>
      <c r="AO73" s="7" t="s">
        <v>72</v>
      </c>
      <c r="AP73" s="7"/>
      <c r="AQ73" s="7"/>
      <c r="AR73" s="7" t="s">
        <v>73</v>
      </c>
      <c r="AS73" s="7"/>
      <c r="AT73" s="7"/>
      <c r="AU73" s="8" t="s">
        <v>74</v>
      </c>
      <c r="AV73" s="8" t="s">
        <v>75</v>
      </c>
      <c r="AW73" s="8" t="s">
        <v>76</v>
      </c>
      <c r="AX73" s="8" t="s">
        <v>77</v>
      </c>
      <c r="AY73" s="59" t="s">
        <v>78</v>
      </c>
    </row>
    <row r="74" customFormat="false" ht="15" hidden="false" customHeight="true" outlineLevel="0" collapsed="false">
      <c r="A74" s="7"/>
      <c r="B74" s="8"/>
      <c r="C74" s="7" t="s">
        <v>22</v>
      </c>
      <c r="D74" s="7"/>
      <c r="E74" s="7" t="s">
        <v>23</v>
      </c>
      <c r="F74" s="7"/>
      <c r="G74" s="7" t="s">
        <v>24</v>
      </c>
      <c r="H74" s="7"/>
      <c r="I74" s="8" t="s">
        <v>25</v>
      </c>
      <c r="J74" s="8" t="s">
        <v>79</v>
      </c>
      <c r="K74" s="8"/>
      <c r="L74" s="7" t="s">
        <v>80</v>
      </c>
      <c r="M74" s="7"/>
      <c r="N74" s="7"/>
      <c r="O74" s="7"/>
      <c r="P74" s="7" t="s">
        <v>81</v>
      </c>
      <c r="Q74" s="7"/>
      <c r="R74" s="7"/>
      <c r="S74" s="7"/>
      <c r="T74" s="8" t="s">
        <v>82</v>
      </c>
      <c r="U74" s="8"/>
      <c r="V74" s="8" t="s">
        <v>83</v>
      </c>
      <c r="W74" s="8"/>
      <c r="X74" s="8" t="s">
        <v>84</v>
      </c>
      <c r="Y74" s="8"/>
      <c r="Z74" s="8" t="s">
        <v>85</v>
      </c>
      <c r="AA74" s="8"/>
      <c r="AB74" s="8" t="s">
        <v>86</v>
      </c>
      <c r="AC74" s="8"/>
      <c r="AD74" s="8" t="s">
        <v>87</v>
      </c>
      <c r="AE74" s="8"/>
      <c r="AF74" s="8" t="s">
        <v>88</v>
      </c>
      <c r="AG74" s="8"/>
      <c r="AH74" s="8" t="s">
        <v>89</v>
      </c>
      <c r="AI74" s="8"/>
      <c r="AJ74" s="8" t="s">
        <v>90</v>
      </c>
      <c r="AK74" s="8"/>
      <c r="AL74" s="8"/>
      <c r="AM74" s="8"/>
      <c r="AN74" s="8"/>
      <c r="AO74" s="7" t="s">
        <v>91</v>
      </c>
      <c r="AP74" s="7" t="s">
        <v>92</v>
      </c>
      <c r="AQ74" s="7" t="s">
        <v>93</v>
      </c>
      <c r="AR74" s="7"/>
      <c r="AS74" s="7"/>
      <c r="AT74" s="7"/>
      <c r="AU74" s="8"/>
      <c r="AV74" s="8"/>
      <c r="AW74" s="8"/>
      <c r="AX74" s="8"/>
      <c r="AY74" s="59"/>
    </row>
    <row r="75" customFormat="false" ht="27" hidden="false" customHeight="true" outlineLevel="0" collapsed="false">
      <c r="A75" s="7"/>
      <c r="B75" s="8"/>
      <c r="C75" s="7" t="s">
        <v>29</v>
      </c>
      <c r="D75" s="7" t="s">
        <v>30</v>
      </c>
      <c r="E75" s="7" t="s">
        <v>29</v>
      </c>
      <c r="F75" s="7" t="s">
        <v>30</v>
      </c>
      <c r="G75" s="7" t="s">
        <v>29</v>
      </c>
      <c r="H75" s="7" t="s">
        <v>30</v>
      </c>
      <c r="I75" s="8"/>
      <c r="J75" s="8"/>
      <c r="K75" s="8"/>
      <c r="L75" s="7" t="s">
        <v>29</v>
      </c>
      <c r="M75" s="7"/>
      <c r="N75" s="7" t="s">
        <v>94</v>
      </c>
      <c r="O75" s="7"/>
      <c r="P75" s="7" t="s">
        <v>95</v>
      </c>
      <c r="Q75" s="7"/>
      <c r="R75" s="7" t="s">
        <v>96</v>
      </c>
      <c r="S75" s="7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7"/>
      <c r="AP75" s="7"/>
      <c r="AQ75" s="7"/>
      <c r="AR75" s="60" t="s">
        <v>97</v>
      </c>
      <c r="AS75" s="60" t="s">
        <v>98</v>
      </c>
      <c r="AT75" s="60" t="s">
        <v>99</v>
      </c>
      <c r="AU75" s="8"/>
      <c r="AV75" s="8"/>
      <c r="AW75" s="8"/>
      <c r="AX75" s="8"/>
      <c r="AY75" s="59"/>
    </row>
    <row r="76" customFormat="false" ht="60.75" hidden="false" customHeight="true" outlineLevel="0" collapsed="false">
      <c r="A76" s="7"/>
      <c r="B76" s="8"/>
      <c r="C76" s="7"/>
      <c r="D76" s="7"/>
      <c r="E76" s="7"/>
      <c r="F76" s="7"/>
      <c r="G76" s="7"/>
      <c r="H76" s="7"/>
      <c r="I76" s="8"/>
      <c r="J76" s="8" t="s">
        <v>29</v>
      </c>
      <c r="K76" s="8" t="s">
        <v>30</v>
      </c>
      <c r="L76" s="8" t="s">
        <v>29</v>
      </c>
      <c r="M76" s="8" t="s">
        <v>30</v>
      </c>
      <c r="N76" s="8" t="s">
        <v>29</v>
      </c>
      <c r="O76" s="8" t="s">
        <v>30</v>
      </c>
      <c r="P76" s="8" t="s">
        <v>29</v>
      </c>
      <c r="Q76" s="8" t="s">
        <v>30</v>
      </c>
      <c r="R76" s="8" t="s">
        <v>29</v>
      </c>
      <c r="S76" s="8" t="s">
        <v>30</v>
      </c>
      <c r="T76" s="8" t="s">
        <v>29</v>
      </c>
      <c r="U76" s="8" t="s">
        <v>30</v>
      </c>
      <c r="V76" s="8" t="s">
        <v>29</v>
      </c>
      <c r="W76" s="8" t="s">
        <v>30</v>
      </c>
      <c r="X76" s="8" t="s">
        <v>29</v>
      </c>
      <c r="Y76" s="8" t="s">
        <v>30</v>
      </c>
      <c r="Z76" s="8" t="s">
        <v>29</v>
      </c>
      <c r="AA76" s="8" t="s">
        <v>30</v>
      </c>
      <c r="AB76" s="8" t="s">
        <v>29</v>
      </c>
      <c r="AC76" s="8" t="s">
        <v>30</v>
      </c>
      <c r="AD76" s="8" t="s">
        <v>29</v>
      </c>
      <c r="AE76" s="8" t="s">
        <v>30</v>
      </c>
      <c r="AF76" s="8" t="s">
        <v>29</v>
      </c>
      <c r="AG76" s="8" t="s">
        <v>30</v>
      </c>
      <c r="AH76" s="8" t="s">
        <v>29</v>
      </c>
      <c r="AI76" s="8" t="s">
        <v>30</v>
      </c>
      <c r="AJ76" s="8" t="s">
        <v>29</v>
      </c>
      <c r="AK76" s="8" t="s">
        <v>30</v>
      </c>
      <c r="AL76" s="8" t="s">
        <v>29</v>
      </c>
      <c r="AM76" s="8" t="s">
        <v>30</v>
      </c>
      <c r="AN76" s="8" t="s">
        <v>31</v>
      </c>
      <c r="AO76" s="7"/>
      <c r="AP76" s="7"/>
      <c r="AQ76" s="7"/>
      <c r="AR76" s="60"/>
      <c r="AS76" s="60"/>
      <c r="AT76" s="60"/>
      <c r="AU76" s="8"/>
      <c r="AV76" s="8"/>
      <c r="AW76" s="8"/>
      <c r="AX76" s="8"/>
      <c r="AY76" s="59"/>
    </row>
    <row r="77" customFormat="false" ht="13.5" hidden="false" customHeight="true" outlineLevel="0" collapsed="false">
      <c r="A77" s="22" t="n">
        <v>1</v>
      </c>
      <c r="B77" s="23" t="n">
        <v>2</v>
      </c>
      <c r="C77" s="24" t="n">
        <v>3</v>
      </c>
      <c r="D77" s="24"/>
      <c r="E77" s="24"/>
      <c r="F77" s="24"/>
      <c r="G77" s="24"/>
      <c r="H77" s="24"/>
      <c r="I77" s="61" t="n">
        <v>4</v>
      </c>
      <c r="J77" s="24" t="n">
        <v>5</v>
      </c>
      <c r="K77" s="24"/>
      <c r="L77" s="24" t="n">
        <v>6</v>
      </c>
      <c r="M77" s="24"/>
      <c r="N77" s="24"/>
      <c r="O77" s="24"/>
      <c r="P77" s="24" t="n">
        <v>7</v>
      </c>
      <c r="Q77" s="24"/>
      <c r="R77" s="24"/>
      <c r="S77" s="24"/>
      <c r="T77" s="24" t="n">
        <v>8</v>
      </c>
      <c r="U77" s="24"/>
      <c r="V77" s="24" t="n">
        <v>9</v>
      </c>
      <c r="W77" s="24"/>
      <c r="X77" s="24" t="n">
        <f aca="false">+V77+1</f>
        <v>10</v>
      </c>
      <c r="Y77" s="24"/>
      <c r="Z77" s="24" t="n">
        <f aca="false">+X77+1</f>
        <v>11</v>
      </c>
      <c r="AA77" s="24"/>
      <c r="AB77" s="24" t="n">
        <f aca="false">+Z77+1</f>
        <v>12</v>
      </c>
      <c r="AC77" s="24"/>
      <c r="AD77" s="24" t="n">
        <f aca="false">+AB77+1</f>
        <v>13</v>
      </c>
      <c r="AE77" s="24"/>
      <c r="AF77" s="24" t="n">
        <f aca="false">+AD77+1</f>
        <v>14</v>
      </c>
      <c r="AG77" s="24"/>
      <c r="AH77" s="24" t="n">
        <f aca="false">+AF77+1</f>
        <v>15</v>
      </c>
      <c r="AI77" s="24"/>
      <c r="AJ77" s="24" t="n">
        <f aca="false">+AH77+1</f>
        <v>16</v>
      </c>
      <c r="AK77" s="24"/>
      <c r="AL77" s="24" t="n">
        <f aca="false">+AJ77+1</f>
        <v>17</v>
      </c>
      <c r="AM77" s="24"/>
      <c r="AN77" s="24"/>
      <c r="AO77" s="23" t="n">
        <v>18</v>
      </c>
      <c r="AP77" s="23"/>
      <c r="AQ77" s="23"/>
      <c r="AR77" s="62" t="n">
        <v>19</v>
      </c>
      <c r="AS77" s="62"/>
      <c r="AT77" s="62"/>
      <c r="AU77" s="63" t="n">
        <v>20</v>
      </c>
      <c r="AV77" s="24" t="n">
        <v>21</v>
      </c>
      <c r="AW77" s="24" t="n">
        <v>22</v>
      </c>
      <c r="AX77" s="24" t="n">
        <v>23</v>
      </c>
      <c r="AY77" s="23" t="n">
        <v>24</v>
      </c>
      <c r="AZ77" s="64"/>
    </row>
    <row r="78" customFormat="false" ht="32.25" hidden="false" customHeight="true" outlineLevel="0" collapsed="false">
      <c r="A78" s="27" t="n">
        <v>1</v>
      </c>
      <c r="B78" s="69" t="s">
        <v>42</v>
      </c>
      <c r="C78" s="70" t="n">
        <v>443</v>
      </c>
      <c r="D78" s="70" t="n">
        <v>437</v>
      </c>
      <c r="E78" s="71" t="n">
        <v>272</v>
      </c>
      <c r="F78" s="71" t="n">
        <v>276</v>
      </c>
      <c r="G78" s="71" t="n">
        <v>17</v>
      </c>
      <c r="H78" s="71" t="n">
        <v>18</v>
      </c>
      <c r="I78" s="31" t="n">
        <f aca="false">E78+F78+G78+H78</f>
        <v>583</v>
      </c>
      <c r="J78" s="10"/>
      <c r="K78" s="10"/>
      <c r="L78" s="10"/>
      <c r="M78" s="10"/>
      <c r="N78" s="10"/>
      <c r="O78" s="10"/>
      <c r="P78" s="10" t="n">
        <v>5</v>
      </c>
      <c r="Q78" s="10" t="n">
        <v>6</v>
      </c>
      <c r="R78" s="10"/>
      <c r="S78" s="10"/>
      <c r="T78" s="10"/>
      <c r="U78" s="10"/>
      <c r="V78" s="10"/>
      <c r="W78" s="10"/>
      <c r="X78" s="10" t="n">
        <v>3</v>
      </c>
      <c r="Y78" s="10" t="n">
        <v>2</v>
      </c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21" t="n">
        <f aca="false">J78+L78+N78+P78+R78+T78+V78+X78+Z78+AB78+AD78+AF78+AH78+AJ78</f>
        <v>8</v>
      </c>
      <c r="AM78" s="21" t="n">
        <f aca="false">J78+L78+N78+P78+R78+T78+V78+X78+Z78+AB78+AD78+AF78+AH78+AJ78</f>
        <v>8</v>
      </c>
      <c r="AN78" s="21" t="n">
        <f aca="false">AL78+AM78</f>
        <v>16</v>
      </c>
      <c r="AO78" s="10" t="n">
        <v>121</v>
      </c>
      <c r="AP78" s="10"/>
      <c r="AQ78" s="10"/>
      <c r="AR78" s="65" t="n">
        <v>57</v>
      </c>
      <c r="AS78" s="65" t="n">
        <v>64</v>
      </c>
      <c r="AT78" s="65" t="n">
        <v>121</v>
      </c>
      <c r="AU78" s="10" t="n">
        <v>121</v>
      </c>
      <c r="AV78" s="10"/>
      <c r="AW78" s="10"/>
      <c r="AX78" s="10"/>
      <c r="AY78" s="66"/>
      <c r="AZ78" s="41"/>
    </row>
    <row r="79" customFormat="false" ht="32.25" hidden="false" customHeight="true" outlineLevel="0" collapsed="false">
      <c r="A79" s="27" t="n">
        <v>2</v>
      </c>
      <c r="B79" s="69" t="s">
        <v>43</v>
      </c>
      <c r="C79" s="70" t="n">
        <v>255</v>
      </c>
      <c r="D79" s="70" t="n">
        <v>252</v>
      </c>
      <c r="E79" s="71" t="n">
        <v>163</v>
      </c>
      <c r="F79" s="71" t="n">
        <v>169</v>
      </c>
      <c r="G79" s="71" t="n">
        <v>64</v>
      </c>
      <c r="H79" s="71" t="n">
        <v>63</v>
      </c>
      <c r="I79" s="31" t="n">
        <f aca="false">E79+F79+G79+H79</f>
        <v>459</v>
      </c>
      <c r="J79" s="10"/>
      <c r="K79" s="10"/>
      <c r="L79" s="10"/>
      <c r="M79" s="10"/>
      <c r="N79" s="10"/>
      <c r="O79" s="10"/>
      <c r="P79" s="10" t="n">
        <v>2</v>
      </c>
      <c r="Q79" s="10" t="n">
        <v>3</v>
      </c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21" t="n">
        <f aca="false">J79+L79+N79+P79+R79+T79+V79+X79+Z79+AB79+AD79+AF79+AH79+AJ79</f>
        <v>2</v>
      </c>
      <c r="AM79" s="21" t="n">
        <f aca="false">J79+L79+N79+P79+R79+T79+V79+X79+Z79+AB79+AD79+AF79+AH79+AJ79</f>
        <v>2</v>
      </c>
      <c r="AN79" s="21" t="n">
        <f aca="false">AL79+AM79</f>
        <v>4</v>
      </c>
      <c r="AO79" s="10" t="n">
        <v>83</v>
      </c>
      <c r="AP79" s="10" t="n">
        <v>83</v>
      </c>
      <c r="AQ79" s="10"/>
      <c r="AR79" s="10" t="n">
        <v>83</v>
      </c>
      <c r="AS79" s="10"/>
      <c r="AT79" s="10" t="n">
        <v>83</v>
      </c>
      <c r="AU79" s="10" t="n">
        <v>83</v>
      </c>
      <c r="AV79" s="10"/>
      <c r="AW79" s="10"/>
      <c r="AX79" s="10"/>
      <c r="AY79" s="66"/>
      <c r="AZ79" s="41"/>
    </row>
    <row r="80" customFormat="false" ht="32.25" hidden="false" customHeight="true" outlineLevel="0" collapsed="false">
      <c r="A80" s="27" t="n">
        <v>3</v>
      </c>
      <c r="B80" s="69" t="s">
        <v>100</v>
      </c>
      <c r="C80" s="70" t="n">
        <v>315</v>
      </c>
      <c r="D80" s="70" t="n">
        <v>312</v>
      </c>
      <c r="E80" s="71" t="n">
        <v>198</v>
      </c>
      <c r="F80" s="71" t="n">
        <v>202</v>
      </c>
      <c r="G80" s="71" t="n">
        <v>52</v>
      </c>
      <c r="H80" s="71" t="n">
        <v>55</v>
      </c>
      <c r="I80" s="31" t="n">
        <f aca="false">E80+F80+G80+H80</f>
        <v>507</v>
      </c>
      <c r="J80" s="10"/>
      <c r="K80" s="10"/>
      <c r="L80" s="10"/>
      <c r="M80" s="10"/>
      <c r="N80" s="10"/>
      <c r="O80" s="10"/>
      <c r="P80" s="10"/>
      <c r="Q80" s="10" t="n">
        <v>1</v>
      </c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21" t="n">
        <f aca="false">J80+L80+N80+P80+R80+T80+V80+X80+Z80+AB80+AD80+AF80+AH80+AJ80</f>
        <v>0</v>
      </c>
      <c r="AM80" s="21" t="n">
        <f aca="false">J80+L80+N80+P80+R80+T80+V80+X80+Z80+AB80+AD80+AF80+AH80+AJ80</f>
        <v>0</v>
      </c>
      <c r="AN80" s="21" t="n">
        <f aca="false">AL80+AM80</f>
        <v>0</v>
      </c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59"/>
      <c r="AZ80" s="41"/>
    </row>
    <row r="81" customFormat="false" ht="32.25" hidden="false" customHeight="true" outlineLevel="0" collapsed="false">
      <c r="A81" s="27" t="n">
        <v>4</v>
      </c>
      <c r="B81" s="69" t="s">
        <v>101</v>
      </c>
      <c r="C81" s="70" t="n">
        <v>201</v>
      </c>
      <c r="D81" s="70" t="n">
        <v>199</v>
      </c>
      <c r="E81" s="71" t="n">
        <v>121</v>
      </c>
      <c r="F81" s="71" t="n">
        <v>125</v>
      </c>
      <c r="G81" s="71" t="n">
        <v>26</v>
      </c>
      <c r="H81" s="71" t="n">
        <v>33</v>
      </c>
      <c r="I81" s="31" t="n">
        <f aca="false">E81+F81+G81+H81</f>
        <v>305</v>
      </c>
      <c r="J81" s="10"/>
      <c r="K81" s="10"/>
      <c r="L81" s="10"/>
      <c r="M81" s="10"/>
      <c r="N81" s="10"/>
      <c r="O81" s="10"/>
      <c r="P81" s="10" t="n">
        <v>4</v>
      </c>
      <c r="Q81" s="10" t="n">
        <v>5</v>
      </c>
      <c r="R81" s="10"/>
      <c r="S81" s="10"/>
      <c r="T81" s="10"/>
      <c r="U81" s="10"/>
      <c r="V81" s="10" t="n">
        <v>2</v>
      </c>
      <c r="W81" s="10" t="n">
        <v>2</v>
      </c>
      <c r="X81" s="10" t="n">
        <v>2</v>
      </c>
      <c r="Y81" s="10" t="n">
        <v>2</v>
      </c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21" t="n">
        <f aca="false">J81+L81+N81+P81+R81+T81+V81+X81+Z81+AB81+AD81+AF81+AH81+AJ81</f>
        <v>8</v>
      </c>
      <c r="AM81" s="21" t="n">
        <f aca="false">J81+L81+N81+P81+R81+T81+V81+X81+Z81+AB81+AD81+AF81+AH81+AJ81</f>
        <v>8</v>
      </c>
      <c r="AN81" s="21" t="n">
        <f aca="false">AL81+AM81</f>
        <v>16</v>
      </c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66"/>
      <c r="AZ81" s="41"/>
    </row>
    <row r="82" customFormat="false" ht="32.25" hidden="false" customHeight="true" outlineLevel="0" collapsed="false">
      <c r="A82" s="27" t="n">
        <v>5</v>
      </c>
      <c r="B82" s="69" t="s">
        <v>102</v>
      </c>
      <c r="C82" s="70" t="n">
        <v>238</v>
      </c>
      <c r="D82" s="70" t="n">
        <v>239</v>
      </c>
      <c r="E82" s="71" t="n">
        <v>95</v>
      </c>
      <c r="F82" s="71" t="n">
        <v>114</v>
      </c>
      <c r="G82" s="71" t="n">
        <v>55</v>
      </c>
      <c r="H82" s="71" t="n">
        <v>67</v>
      </c>
      <c r="I82" s="31" t="n">
        <f aca="false">SUM(E82:H82)</f>
        <v>331</v>
      </c>
      <c r="J82" s="10"/>
      <c r="K82" s="10"/>
      <c r="L82" s="10"/>
      <c r="M82" s="10"/>
      <c r="N82" s="10"/>
      <c r="O82" s="10"/>
      <c r="P82" s="10" t="n">
        <v>2</v>
      </c>
      <c r="Q82" s="10" t="n">
        <v>5</v>
      </c>
      <c r="R82" s="10"/>
      <c r="S82" s="10"/>
      <c r="T82" s="10"/>
      <c r="U82" s="10"/>
      <c r="V82" s="10"/>
      <c r="W82" s="10"/>
      <c r="X82" s="10"/>
      <c r="Y82" s="10" t="n">
        <v>2</v>
      </c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21" t="n">
        <f aca="false">J82+L82+N82+P82+R82+T82+V82+X82+Z82+AB82+AD82+AF82+AH82+AJ82</f>
        <v>2</v>
      </c>
      <c r="AM82" s="21" t="n">
        <f aca="false">J82+L82+N82+P82+R82+T82+V82+X82+Z82+AB82+AD82+AF82+AH82+AJ82</f>
        <v>2</v>
      </c>
      <c r="AN82" s="21" t="n">
        <f aca="false">AL82+AM82</f>
        <v>4</v>
      </c>
      <c r="AO82" s="10"/>
      <c r="AP82" s="10"/>
      <c r="AQ82" s="10"/>
      <c r="AR82" s="10" t="n">
        <v>8</v>
      </c>
      <c r="AS82" s="10"/>
      <c r="AT82" s="10"/>
      <c r="AU82" s="10"/>
      <c r="AV82" s="10"/>
      <c r="AW82" s="10"/>
      <c r="AX82" s="10"/>
      <c r="AY82" s="66"/>
      <c r="AZ82" s="41"/>
    </row>
    <row r="83" customFormat="false" ht="36.75" hidden="false" customHeight="true" outlineLevel="0" collapsed="false">
      <c r="A83" s="27" t="n">
        <v>6</v>
      </c>
      <c r="B83" s="69" t="s">
        <v>47</v>
      </c>
      <c r="C83" s="70" t="n">
        <v>199</v>
      </c>
      <c r="D83" s="70" t="n">
        <v>197</v>
      </c>
      <c r="E83" s="71" t="n">
        <v>125</v>
      </c>
      <c r="F83" s="71" t="n">
        <v>126</v>
      </c>
      <c r="G83" s="71" t="n">
        <v>23</v>
      </c>
      <c r="H83" s="71" t="n">
        <v>29</v>
      </c>
      <c r="I83" s="31" t="n">
        <f aca="false">E83+F83+G83+H83</f>
        <v>303</v>
      </c>
      <c r="J83" s="10"/>
      <c r="K83" s="10"/>
      <c r="L83" s="10"/>
      <c r="M83" s="10"/>
      <c r="N83" s="10"/>
      <c r="O83" s="10"/>
      <c r="P83" s="10" t="n">
        <v>3</v>
      </c>
      <c r="Q83" s="10" t="n">
        <v>5</v>
      </c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21" t="n">
        <f aca="false">J83+L83+N83+P83+R83+T83+V83+X83+Z83+AB83+AD83+AF83+AH83+AJ83</f>
        <v>3</v>
      </c>
      <c r="AM83" s="21" t="n">
        <f aca="false">J83+L83+N83+P83+R83+T83+V83+X83+Z83+AB83+AD83+AF83+AH83+AJ83</f>
        <v>3</v>
      </c>
      <c r="AN83" s="21" t="n">
        <f aca="false">AL83+AM83</f>
        <v>6</v>
      </c>
      <c r="AO83" s="10"/>
      <c r="AP83" s="10"/>
      <c r="AQ83" s="10"/>
      <c r="AR83" s="10" t="n">
        <v>24</v>
      </c>
      <c r="AS83" s="10" t="n">
        <v>44</v>
      </c>
      <c r="AT83" s="10" t="n">
        <v>64</v>
      </c>
      <c r="AU83" s="10" t="n">
        <v>64</v>
      </c>
      <c r="AV83" s="10"/>
      <c r="AW83" s="10"/>
      <c r="AX83" s="10"/>
      <c r="AY83" s="66"/>
      <c r="AZ83" s="46"/>
    </row>
    <row r="84" customFormat="false" ht="15.75" hidden="false" customHeight="false" outlineLevel="0" collapsed="false">
      <c r="A84" s="15" t="s">
        <v>48</v>
      </c>
      <c r="B84" s="15"/>
      <c r="C84" s="31" t="n">
        <f aca="false">SUM(C78:C83)</f>
        <v>1651</v>
      </c>
      <c r="D84" s="31" t="n">
        <f aca="false">SUM(D78:D83)</f>
        <v>1636</v>
      </c>
      <c r="E84" s="31" t="n">
        <f aca="false">SUM(E78:E83)</f>
        <v>974</v>
      </c>
      <c r="F84" s="31" t="n">
        <f aca="false">SUM(F78:F83)</f>
        <v>1012</v>
      </c>
      <c r="G84" s="31" t="n">
        <f aca="false">SUM(G78:G83)</f>
        <v>237</v>
      </c>
      <c r="H84" s="31" t="n">
        <f aca="false">SUM(H78:H83)</f>
        <v>265</v>
      </c>
      <c r="I84" s="31" t="n">
        <f aca="false">SUM(I78:I83)</f>
        <v>2488</v>
      </c>
      <c r="J84" s="21" t="n">
        <f aca="false">SUM(J78:J83)</f>
        <v>0</v>
      </c>
      <c r="K84" s="21" t="n">
        <f aca="false">SUM(K78:K83)</f>
        <v>0</v>
      </c>
      <c r="L84" s="21" t="n">
        <f aca="false">SUM(L78:L83)</f>
        <v>0</v>
      </c>
      <c r="M84" s="21" t="n">
        <f aca="false">SUM(M78:M83)</f>
        <v>0</v>
      </c>
      <c r="N84" s="21" t="n">
        <f aca="false">SUM(N78:N83)</f>
        <v>0</v>
      </c>
      <c r="O84" s="21" t="n">
        <f aca="false">SUM(O78:O83)</f>
        <v>0</v>
      </c>
      <c r="P84" s="21" t="n">
        <f aca="false">SUM(P78:P83)</f>
        <v>16</v>
      </c>
      <c r="Q84" s="21" t="n">
        <f aca="false">SUM(Q78:Q83)</f>
        <v>25</v>
      </c>
      <c r="R84" s="21" t="n">
        <f aca="false">SUM(R78:R83)</f>
        <v>0</v>
      </c>
      <c r="S84" s="21" t="n">
        <f aca="false">SUM(S78:S83)</f>
        <v>0</v>
      </c>
      <c r="T84" s="21" t="n">
        <f aca="false">SUM(T78:T83)</f>
        <v>0</v>
      </c>
      <c r="U84" s="21" t="n">
        <f aca="false">SUM(U78:U83)</f>
        <v>0</v>
      </c>
      <c r="V84" s="21" t="n">
        <f aca="false">SUM(V78:V83)</f>
        <v>2</v>
      </c>
      <c r="W84" s="21" t="n">
        <f aca="false">SUM(W78:W83)</f>
        <v>2</v>
      </c>
      <c r="X84" s="21" t="n">
        <f aca="false">SUM(X78:X83)</f>
        <v>5</v>
      </c>
      <c r="Y84" s="21" t="n">
        <f aca="false">SUM(Y78:Y83)</f>
        <v>6</v>
      </c>
      <c r="Z84" s="21" t="n">
        <f aca="false">SUM(Z78:Z83)</f>
        <v>0</v>
      </c>
      <c r="AA84" s="21" t="n">
        <f aca="false">SUM(AA78:AA83)</f>
        <v>0</v>
      </c>
      <c r="AB84" s="21" t="n">
        <f aca="false">SUM(AB78:AB83)</f>
        <v>0</v>
      </c>
      <c r="AC84" s="21" t="n">
        <f aca="false">SUM(AC78:AC83)</f>
        <v>0</v>
      </c>
      <c r="AD84" s="21" t="n">
        <f aca="false">SUM(AD78:AD83)</f>
        <v>0</v>
      </c>
      <c r="AE84" s="21" t="n">
        <f aca="false">SUM(AE78:AE83)</f>
        <v>0</v>
      </c>
      <c r="AF84" s="21" t="n">
        <f aca="false">SUM(AF78:AF83)</f>
        <v>0</v>
      </c>
      <c r="AG84" s="21" t="n">
        <f aca="false">SUM(AG78:AG83)</f>
        <v>0</v>
      </c>
      <c r="AH84" s="21" t="n">
        <f aca="false">SUM(AH78:AH83)</f>
        <v>0</v>
      </c>
      <c r="AI84" s="21" t="n">
        <f aca="false">SUM(AI78:AI83)</f>
        <v>0</v>
      </c>
      <c r="AJ84" s="21" t="n">
        <f aca="false">SUM(AJ78:AJ83)</f>
        <v>0</v>
      </c>
      <c r="AK84" s="21" t="n">
        <f aca="false">SUM(AK78:AK83)</f>
        <v>0</v>
      </c>
      <c r="AL84" s="21" t="n">
        <f aca="false">SUM(AL78:AL83)</f>
        <v>23</v>
      </c>
      <c r="AM84" s="21" t="n">
        <f aca="false">SUM(AM78:AM83)</f>
        <v>23</v>
      </c>
      <c r="AN84" s="21" t="n">
        <f aca="false">SUM(AN78:AN83)</f>
        <v>46</v>
      </c>
      <c r="AO84" s="21" t="n">
        <f aca="false">SUM(AO78:AO83)</f>
        <v>204</v>
      </c>
      <c r="AP84" s="21" t="n">
        <f aca="false">SUM(AP78:AP83)</f>
        <v>83</v>
      </c>
      <c r="AQ84" s="21" t="n">
        <f aca="false">SUM(AQ78:AQ83)</f>
        <v>0</v>
      </c>
      <c r="AR84" s="21" t="n">
        <f aca="false">SUM(AR78:AR83)</f>
        <v>172</v>
      </c>
      <c r="AS84" s="21" t="n">
        <f aca="false">SUM(AS78:AS83)</f>
        <v>108</v>
      </c>
      <c r="AT84" s="21" t="n">
        <f aca="false">SUM(AT78:AT83)</f>
        <v>268</v>
      </c>
      <c r="AU84" s="21" t="n">
        <f aca="false">SUM(AU78:AU83)</f>
        <v>268</v>
      </c>
      <c r="AV84" s="21" t="n">
        <f aca="false">SUM(AV78:AV83)</f>
        <v>0</v>
      </c>
      <c r="AW84" s="21" t="n">
        <f aca="false">SUM(AW78:AW83)</f>
        <v>0</v>
      </c>
      <c r="AX84" s="21" t="n">
        <f aca="false">SUM(AX78:AX83)</f>
        <v>0</v>
      </c>
      <c r="AY84" s="67" t="n">
        <f aca="false">SUM(AY78:AY83)</f>
        <v>0</v>
      </c>
    </row>
    <row r="85" customFormat="false" ht="15.75" hidden="false" customHeight="false" outlineLevel="0" collapsed="false">
      <c r="AS85" s="54"/>
      <c r="AT85" s="55" t="s">
        <v>104</v>
      </c>
      <c r="AU85" s="55"/>
      <c r="AV85" s="55"/>
    </row>
    <row r="86" customFormat="false" ht="15.75" hidden="false" customHeight="false" outlineLevel="0" collapsed="false">
      <c r="C86" s="55"/>
      <c r="D86" s="55"/>
      <c r="E86" s="55"/>
      <c r="F86" s="55"/>
      <c r="G86" s="55"/>
      <c r="H86" s="55"/>
      <c r="I86" s="55"/>
      <c r="AS86" s="54"/>
    </row>
    <row r="87" customFormat="false" ht="15.75" hidden="false" customHeight="false" outlineLevel="0" collapsed="false">
      <c r="C87" s="55"/>
      <c r="D87" s="55"/>
      <c r="E87" s="55"/>
      <c r="F87" s="55"/>
      <c r="G87" s="55"/>
      <c r="H87" s="55"/>
      <c r="I87" s="55"/>
      <c r="AS87" s="54"/>
    </row>
    <row r="88" customFormat="false" ht="15.75" hidden="false" customHeight="false" outlineLevel="0" collapsed="false">
      <c r="AS88" s="54"/>
    </row>
    <row r="89" customFormat="false" ht="15.75" hidden="false" customHeight="false" outlineLevel="0" collapsed="false">
      <c r="A89" s="2" t="s">
        <v>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customFormat="false" ht="15.75" hidden="false" customHeight="false" outlineLevel="0" collapsed="false">
      <c r="A91" s="3" t="s">
        <v>67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customFormat="false" ht="15.75" hidden="false" customHeight="false" outlineLevel="0" collapsed="false">
      <c r="A92" s="3" t="s">
        <v>3</v>
      </c>
      <c r="B92" s="4" t="s">
        <v>68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customFormat="false" ht="15.75" hidden="false" customHeight="false" outlineLevel="0" collapsed="false">
      <c r="A93" s="3" t="s">
        <v>107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customFormat="false" ht="15.75" hidden="false" customHeight="false" outlineLevel="0" collapsed="false">
      <c r="A94" s="4"/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customFormat="false" ht="22.5" hidden="false" customHeight="true" outlineLevel="0" collapsed="false">
      <c r="A95" s="7" t="s">
        <v>7</v>
      </c>
      <c r="B95" s="8" t="s">
        <v>8</v>
      </c>
      <c r="C95" s="10" t="s">
        <v>14</v>
      </c>
      <c r="D95" s="10"/>
      <c r="E95" s="10"/>
      <c r="F95" s="10"/>
      <c r="G95" s="10"/>
      <c r="H95" s="11"/>
      <c r="I95" s="11"/>
      <c r="J95" s="7" t="s">
        <v>70</v>
      </c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8" t="s">
        <v>71</v>
      </c>
      <c r="AM95" s="8"/>
      <c r="AN95" s="8"/>
      <c r="AO95" s="7" t="s">
        <v>72</v>
      </c>
      <c r="AP95" s="7"/>
      <c r="AQ95" s="7"/>
      <c r="AR95" s="7" t="s">
        <v>73</v>
      </c>
      <c r="AS95" s="7"/>
      <c r="AT95" s="7"/>
      <c r="AU95" s="8" t="s">
        <v>74</v>
      </c>
      <c r="AV95" s="8" t="s">
        <v>75</v>
      </c>
      <c r="AW95" s="8" t="s">
        <v>76</v>
      </c>
      <c r="AX95" s="8" t="s">
        <v>77</v>
      </c>
      <c r="AY95" s="59" t="s">
        <v>78</v>
      </c>
    </row>
    <row r="96" customFormat="false" ht="15" hidden="false" customHeight="true" outlineLevel="0" collapsed="false">
      <c r="A96" s="7"/>
      <c r="B96" s="8"/>
      <c r="C96" s="7" t="s">
        <v>22</v>
      </c>
      <c r="D96" s="7"/>
      <c r="E96" s="7" t="s">
        <v>23</v>
      </c>
      <c r="F96" s="7"/>
      <c r="G96" s="7" t="s">
        <v>24</v>
      </c>
      <c r="H96" s="7"/>
      <c r="I96" s="8" t="s">
        <v>25</v>
      </c>
      <c r="J96" s="8" t="s">
        <v>79</v>
      </c>
      <c r="K96" s="8"/>
      <c r="L96" s="7" t="s">
        <v>80</v>
      </c>
      <c r="M96" s="7"/>
      <c r="N96" s="7"/>
      <c r="O96" s="7"/>
      <c r="P96" s="7" t="s">
        <v>81</v>
      </c>
      <c r="Q96" s="7"/>
      <c r="R96" s="7"/>
      <c r="S96" s="7"/>
      <c r="T96" s="8" t="s">
        <v>82</v>
      </c>
      <c r="U96" s="8"/>
      <c r="V96" s="8" t="s">
        <v>83</v>
      </c>
      <c r="W96" s="8"/>
      <c r="X96" s="8" t="s">
        <v>84</v>
      </c>
      <c r="Y96" s="8"/>
      <c r="Z96" s="8" t="s">
        <v>85</v>
      </c>
      <c r="AA96" s="8"/>
      <c r="AB96" s="8" t="s">
        <v>86</v>
      </c>
      <c r="AC96" s="8"/>
      <c r="AD96" s="8" t="s">
        <v>87</v>
      </c>
      <c r="AE96" s="8"/>
      <c r="AF96" s="8" t="s">
        <v>88</v>
      </c>
      <c r="AG96" s="8"/>
      <c r="AH96" s="8" t="s">
        <v>89</v>
      </c>
      <c r="AI96" s="8"/>
      <c r="AJ96" s="8" t="s">
        <v>90</v>
      </c>
      <c r="AK96" s="8"/>
      <c r="AL96" s="8"/>
      <c r="AM96" s="8"/>
      <c r="AN96" s="8"/>
      <c r="AO96" s="7" t="s">
        <v>91</v>
      </c>
      <c r="AP96" s="7" t="s">
        <v>92</v>
      </c>
      <c r="AQ96" s="7" t="s">
        <v>93</v>
      </c>
      <c r="AR96" s="7"/>
      <c r="AS96" s="7"/>
      <c r="AT96" s="7"/>
      <c r="AU96" s="8"/>
      <c r="AV96" s="8"/>
      <c r="AW96" s="8"/>
      <c r="AX96" s="8"/>
      <c r="AY96" s="59"/>
    </row>
    <row r="97" customFormat="false" ht="27" hidden="false" customHeight="true" outlineLevel="0" collapsed="false">
      <c r="A97" s="7"/>
      <c r="B97" s="8"/>
      <c r="C97" s="7" t="s">
        <v>29</v>
      </c>
      <c r="D97" s="7" t="s">
        <v>30</v>
      </c>
      <c r="E97" s="7" t="s">
        <v>29</v>
      </c>
      <c r="F97" s="7" t="s">
        <v>30</v>
      </c>
      <c r="G97" s="7" t="s">
        <v>29</v>
      </c>
      <c r="H97" s="7" t="s">
        <v>30</v>
      </c>
      <c r="I97" s="8"/>
      <c r="J97" s="8"/>
      <c r="K97" s="8"/>
      <c r="L97" s="7" t="s">
        <v>29</v>
      </c>
      <c r="M97" s="7"/>
      <c r="N97" s="7" t="s">
        <v>94</v>
      </c>
      <c r="O97" s="7"/>
      <c r="P97" s="7" t="s">
        <v>95</v>
      </c>
      <c r="Q97" s="7"/>
      <c r="R97" s="7" t="s">
        <v>96</v>
      </c>
      <c r="S97" s="7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7"/>
      <c r="AP97" s="7"/>
      <c r="AQ97" s="7"/>
      <c r="AR97" s="60" t="s">
        <v>97</v>
      </c>
      <c r="AS97" s="60" t="s">
        <v>98</v>
      </c>
      <c r="AT97" s="60" t="s">
        <v>99</v>
      </c>
      <c r="AU97" s="8"/>
      <c r="AV97" s="8"/>
      <c r="AW97" s="8"/>
      <c r="AX97" s="8"/>
      <c r="AY97" s="59"/>
    </row>
    <row r="98" customFormat="false" ht="60.75" hidden="false" customHeight="true" outlineLevel="0" collapsed="false">
      <c r="A98" s="7"/>
      <c r="B98" s="8"/>
      <c r="C98" s="7"/>
      <c r="D98" s="7"/>
      <c r="E98" s="7"/>
      <c r="F98" s="7"/>
      <c r="G98" s="7"/>
      <c r="H98" s="7"/>
      <c r="I98" s="8"/>
      <c r="J98" s="8" t="s">
        <v>29</v>
      </c>
      <c r="K98" s="8" t="s">
        <v>30</v>
      </c>
      <c r="L98" s="8" t="s">
        <v>29</v>
      </c>
      <c r="M98" s="8" t="s">
        <v>30</v>
      </c>
      <c r="N98" s="8" t="s">
        <v>29</v>
      </c>
      <c r="O98" s="8" t="s">
        <v>30</v>
      </c>
      <c r="P98" s="8" t="s">
        <v>29</v>
      </c>
      <c r="Q98" s="8" t="s">
        <v>30</v>
      </c>
      <c r="R98" s="8" t="s">
        <v>29</v>
      </c>
      <c r="S98" s="8" t="s">
        <v>30</v>
      </c>
      <c r="T98" s="8" t="s">
        <v>29</v>
      </c>
      <c r="U98" s="8" t="s">
        <v>30</v>
      </c>
      <c r="V98" s="8" t="s">
        <v>29</v>
      </c>
      <c r="W98" s="8" t="s">
        <v>30</v>
      </c>
      <c r="X98" s="8" t="s">
        <v>29</v>
      </c>
      <c r="Y98" s="8" t="s">
        <v>30</v>
      </c>
      <c r="Z98" s="8" t="s">
        <v>29</v>
      </c>
      <c r="AA98" s="8" t="s">
        <v>30</v>
      </c>
      <c r="AB98" s="8" t="s">
        <v>29</v>
      </c>
      <c r="AC98" s="8" t="s">
        <v>30</v>
      </c>
      <c r="AD98" s="8" t="s">
        <v>29</v>
      </c>
      <c r="AE98" s="8" t="s">
        <v>30</v>
      </c>
      <c r="AF98" s="8" t="s">
        <v>29</v>
      </c>
      <c r="AG98" s="8" t="s">
        <v>30</v>
      </c>
      <c r="AH98" s="8" t="s">
        <v>29</v>
      </c>
      <c r="AI98" s="8" t="s">
        <v>30</v>
      </c>
      <c r="AJ98" s="8" t="s">
        <v>29</v>
      </c>
      <c r="AK98" s="8" t="s">
        <v>30</v>
      </c>
      <c r="AL98" s="8" t="s">
        <v>29</v>
      </c>
      <c r="AM98" s="8" t="s">
        <v>30</v>
      </c>
      <c r="AN98" s="8" t="s">
        <v>31</v>
      </c>
      <c r="AO98" s="7"/>
      <c r="AP98" s="7"/>
      <c r="AQ98" s="7"/>
      <c r="AR98" s="60"/>
      <c r="AS98" s="60"/>
      <c r="AT98" s="60"/>
      <c r="AU98" s="8"/>
      <c r="AV98" s="8"/>
      <c r="AW98" s="8"/>
      <c r="AX98" s="8"/>
      <c r="AY98" s="59"/>
    </row>
    <row r="99" customFormat="false" ht="13.5" hidden="false" customHeight="true" outlineLevel="0" collapsed="false">
      <c r="A99" s="22" t="n">
        <v>1</v>
      </c>
      <c r="B99" s="23" t="n">
        <v>2</v>
      </c>
      <c r="C99" s="24" t="n">
        <v>3</v>
      </c>
      <c r="D99" s="24"/>
      <c r="E99" s="24"/>
      <c r="F99" s="24"/>
      <c r="G99" s="24"/>
      <c r="H99" s="24"/>
      <c r="I99" s="61" t="n">
        <v>4</v>
      </c>
      <c r="J99" s="24" t="n">
        <v>5</v>
      </c>
      <c r="K99" s="24"/>
      <c r="L99" s="24" t="n">
        <v>6</v>
      </c>
      <c r="M99" s="24"/>
      <c r="N99" s="24"/>
      <c r="O99" s="24"/>
      <c r="P99" s="24" t="n">
        <v>7</v>
      </c>
      <c r="Q99" s="24"/>
      <c r="R99" s="24"/>
      <c r="S99" s="24"/>
      <c r="T99" s="24" t="n">
        <v>8</v>
      </c>
      <c r="U99" s="24"/>
      <c r="V99" s="24" t="n">
        <v>9</v>
      </c>
      <c r="W99" s="24"/>
      <c r="X99" s="24" t="n">
        <f aca="false">+V99+1</f>
        <v>10</v>
      </c>
      <c r="Y99" s="24"/>
      <c r="Z99" s="24" t="n">
        <f aca="false">+X99+1</f>
        <v>11</v>
      </c>
      <c r="AA99" s="24"/>
      <c r="AB99" s="24" t="n">
        <f aca="false">+Z99+1</f>
        <v>12</v>
      </c>
      <c r="AC99" s="24"/>
      <c r="AD99" s="24" t="n">
        <f aca="false">+AB99+1</f>
        <v>13</v>
      </c>
      <c r="AE99" s="24"/>
      <c r="AF99" s="24" t="n">
        <f aca="false">+AD99+1</f>
        <v>14</v>
      </c>
      <c r="AG99" s="24"/>
      <c r="AH99" s="24" t="n">
        <f aca="false">+AF99+1</f>
        <v>15</v>
      </c>
      <c r="AI99" s="24"/>
      <c r="AJ99" s="24" t="n">
        <f aca="false">+AH99+1</f>
        <v>16</v>
      </c>
      <c r="AK99" s="24"/>
      <c r="AL99" s="24" t="n">
        <f aca="false">+AJ99+1</f>
        <v>17</v>
      </c>
      <c r="AM99" s="24"/>
      <c r="AN99" s="24"/>
      <c r="AO99" s="23" t="n">
        <v>18</v>
      </c>
      <c r="AP99" s="23"/>
      <c r="AQ99" s="23"/>
      <c r="AR99" s="62" t="n">
        <v>19</v>
      </c>
      <c r="AS99" s="62"/>
      <c r="AT99" s="62"/>
      <c r="AU99" s="63" t="n">
        <v>20</v>
      </c>
      <c r="AV99" s="24" t="n">
        <v>21</v>
      </c>
      <c r="AW99" s="24" t="n">
        <v>22</v>
      </c>
      <c r="AX99" s="24" t="n">
        <v>23</v>
      </c>
      <c r="AY99" s="23" t="n">
        <v>24</v>
      </c>
      <c r="AZ99" s="64"/>
    </row>
    <row r="100" customFormat="false" ht="32.25" hidden="false" customHeight="true" outlineLevel="0" collapsed="false">
      <c r="A100" s="27" t="n">
        <v>1</v>
      </c>
      <c r="B100" s="69" t="s">
        <v>42</v>
      </c>
      <c r="C100" s="70" t="n">
        <v>443</v>
      </c>
      <c r="D100" s="70" t="n">
        <v>437</v>
      </c>
      <c r="E100" s="71" t="n">
        <v>272</v>
      </c>
      <c r="F100" s="71" t="n">
        <v>276</v>
      </c>
      <c r="G100" s="71" t="n">
        <v>17</v>
      </c>
      <c r="H100" s="71" t="n">
        <v>18</v>
      </c>
      <c r="I100" s="31" t="n">
        <f aca="false">E100+F100+G100+H100</f>
        <v>583</v>
      </c>
      <c r="J100" s="10"/>
      <c r="K100" s="10"/>
      <c r="L100" s="10"/>
      <c r="M100" s="10"/>
      <c r="N100" s="10"/>
      <c r="O100" s="10"/>
      <c r="P100" s="10" t="n">
        <v>7</v>
      </c>
      <c r="Q100" s="10" t="n">
        <v>8</v>
      </c>
      <c r="R100" s="10"/>
      <c r="S100" s="10"/>
      <c r="T100" s="10"/>
      <c r="U100" s="10"/>
      <c r="V100" s="10"/>
      <c r="W100" s="10"/>
      <c r="X100" s="10" t="n">
        <v>2</v>
      </c>
      <c r="Y100" s="10" t="n">
        <v>4</v>
      </c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21" t="n">
        <f aca="false">J100+L100+N100+P100+R100+T100+V100+X100+Z100+AB100+AD100+AF100+AH100+AJ100</f>
        <v>9</v>
      </c>
      <c r="AM100" s="21" t="n">
        <f aca="false">J100+L100+N100+P100+R100+T100+V100+X100+Z100+AB100+AD100+AF100+AH100+AJ100</f>
        <v>9</v>
      </c>
      <c r="AN100" s="21" t="n">
        <f aca="false">AL100+AM100</f>
        <v>18</v>
      </c>
      <c r="AO100" s="10" t="n">
        <v>189</v>
      </c>
      <c r="AP100" s="10"/>
      <c r="AQ100" s="10"/>
      <c r="AR100" s="65" t="n">
        <v>84</v>
      </c>
      <c r="AS100" s="65" t="n">
        <v>105</v>
      </c>
      <c r="AT100" s="65" t="n">
        <v>189</v>
      </c>
      <c r="AU100" s="10" t="n">
        <v>189</v>
      </c>
      <c r="AV100" s="10"/>
      <c r="AW100" s="10"/>
      <c r="AX100" s="10"/>
      <c r="AY100" s="66"/>
      <c r="AZ100" s="41"/>
    </row>
    <row r="101" customFormat="false" ht="32.25" hidden="false" customHeight="true" outlineLevel="0" collapsed="false">
      <c r="A101" s="27" t="n">
        <v>2</v>
      </c>
      <c r="B101" s="69" t="s">
        <v>43</v>
      </c>
      <c r="C101" s="70" t="n">
        <v>255</v>
      </c>
      <c r="D101" s="70" t="n">
        <v>252</v>
      </c>
      <c r="E101" s="71" t="n">
        <v>163</v>
      </c>
      <c r="F101" s="71" t="n">
        <v>169</v>
      </c>
      <c r="G101" s="71" t="n">
        <v>64</v>
      </c>
      <c r="H101" s="71" t="n">
        <v>63</v>
      </c>
      <c r="I101" s="31" t="n">
        <f aca="false">E101+F101+G101+H101</f>
        <v>459</v>
      </c>
      <c r="J101" s="10"/>
      <c r="K101" s="10"/>
      <c r="L101" s="10"/>
      <c r="M101" s="10"/>
      <c r="N101" s="10"/>
      <c r="O101" s="10"/>
      <c r="P101" s="10" t="n">
        <v>1</v>
      </c>
      <c r="Q101" s="10" t="n">
        <v>2</v>
      </c>
      <c r="R101" s="10"/>
      <c r="S101" s="10"/>
      <c r="T101" s="10"/>
      <c r="U101" s="10"/>
      <c r="V101" s="10"/>
      <c r="W101" s="10"/>
      <c r="X101" s="10"/>
      <c r="Y101" s="10" t="n">
        <v>1</v>
      </c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21" t="n">
        <f aca="false">J101+L101+N101+P101+R101+T101+V101+X101+Z101+AB101+AD101+AF101+AH101+AJ101</f>
        <v>1</v>
      </c>
      <c r="AM101" s="21" t="n">
        <f aca="false">J101+L101+N101+P101+R101+T101+V101+X101+Z101+AB101+AD101+AF101+AH101+AJ101</f>
        <v>1</v>
      </c>
      <c r="AN101" s="21" t="n">
        <f aca="false">AL101+AM101</f>
        <v>2</v>
      </c>
      <c r="AO101" s="10" t="n">
        <v>34</v>
      </c>
      <c r="AP101" s="10" t="n">
        <v>3</v>
      </c>
      <c r="AQ101" s="10" t="n">
        <v>3</v>
      </c>
      <c r="AR101" s="10" t="n">
        <v>34</v>
      </c>
      <c r="AS101" s="10"/>
      <c r="AT101" s="10" t="n">
        <v>34</v>
      </c>
      <c r="AU101" s="10" t="n">
        <v>34</v>
      </c>
      <c r="AV101" s="10"/>
      <c r="AW101" s="10"/>
      <c r="AX101" s="10"/>
      <c r="AY101" s="66"/>
      <c r="AZ101" s="41"/>
    </row>
    <row r="102" customFormat="false" ht="32.25" hidden="false" customHeight="true" outlineLevel="0" collapsed="false">
      <c r="A102" s="27" t="n">
        <v>3</v>
      </c>
      <c r="B102" s="69" t="s">
        <v>100</v>
      </c>
      <c r="C102" s="70" t="n">
        <v>315</v>
      </c>
      <c r="D102" s="70" t="n">
        <v>312</v>
      </c>
      <c r="E102" s="71" t="n">
        <v>198</v>
      </c>
      <c r="F102" s="71" t="n">
        <v>202</v>
      </c>
      <c r="G102" s="71" t="n">
        <v>52</v>
      </c>
      <c r="H102" s="71" t="n">
        <v>55</v>
      </c>
      <c r="I102" s="31" t="n">
        <f aca="false">E102+F102+G102+H102</f>
        <v>507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21" t="n">
        <f aca="false">J102+L102+N102+P102+R102+T102+V102+X102+Z102+AB102+AD102+AF102+AH102+AJ102</f>
        <v>0</v>
      </c>
      <c r="AM102" s="21" t="n">
        <f aca="false">J102+L102+N102+P102+R102+T102+V102+X102+Z102+AB102+AD102+AF102+AH102+AJ102</f>
        <v>0</v>
      </c>
      <c r="AN102" s="21" t="n">
        <f aca="false">AL102+AM102</f>
        <v>0</v>
      </c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59"/>
      <c r="AZ102" s="41"/>
    </row>
    <row r="103" customFormat="false" ht="32.25" hidden="false" customHeight="true" outlineLevel="0" collapsed="false">
      <c r="A103" s="27" t="n">
        <v>4</v>
      </c>
      <c r="B103" s="69" t="s">
        <v>101</v>
      </c>
      <c r="C103" s="70" t="n">
        <v>201</v>
      </c>
      <c r="D103" s="70" t="n">
        <v>199</v>
      </c>
      <c r="E103" s="71" t="n">
        <v>121</v>
      </c>
      <c r="F103" s="71" t="n">
        <v>125</v>
      </c>
      <c r="G103" s="71" t="n">
        <v>26</v>
      </c>
      <c r="H103" s="71" t="n">
        <v>33</v>
      </c>
      <c r="I103" s="31" t="n">
        <f aca="false">E103+F103+G103+H103</f>
        <v>305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21" t="n">
        <f aca="false">J103+L103+N103+P103+R103+T103+V103+X103+Z103+AB103+AD103+AF103+AH103+AJ103</f>
        <v>0</v>
      </c>
      <c r="AM103" s="21" t="n">
        <f aca="false">J103+L103+N103+P103+R103+T103+V103+X103+Z103+AB103+AD103+AF103+AH103+AJ103</f>
        <v>0</v>
      </c>
      <c r="AN103" s="21" t="n">
        <f aca="false">AL103+AM103</f>
        <v>0</v>
      </c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66"/>
      <c r="AZ103" s="41"/>
    </row>
    <row r="104" customFormat="false" ht="32.25" hidden="false" customHeight="true" outlineLevel="0" collapsed="false">
      <c r="A104" s="27" t="n">
        <v>5</v>
      </c>
      <c r="B104" s="69" t="s">
        <v>102</v>
      </c>
      <c r="C104" s="70" t="n">
        <v>238</v>
      </c>
      <c r="D104" s="70" t="n">
        <v>239</v>
      </c>
      <c r="E104" s="71" t="n">
        <v>95</v>
      </c>
      <c r="F104" s="71" t="n">
        <v>114</v>
      </c>
      <c r="G104" s="71" t="n">
        <v>55</v>
      </c>
      <c r="H104" s="71" t="n">
        <v>67</v>
      </c>
      <c r="I104" s="31" t="n">
        <f aca="false">SUM(E104:H104)</f>
        <v>331</v>
      </c>
      <c r="J104" s="10"/>
      <c r="K104" s="10"/>
      <c r="L104" s="10"/>
      <c r="M104" s="10"/>
      <c r="N104" s="10"/>
      <c r="O104" s="10"/>
      <c r="P104" s="10" t="n">
        <v>1</v>
      </c>
      <c r="Q104" s="10" t="n">
        <v>1</v>
      </c>
      <c r="R104" s="10"/>
      <c r="S104" s="10"/>
      <c r="T104" s="10"/>
      <c r="U104" s="10"/>
      <c r="V104" s="10"/>
      <c r="W104" s="10"/>
      <c r="X104" s="10" t="n">
        <v>1</v>
      </c>
      <c r="Y104" s="10" t="n">
        <v>1</v>
      </c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21" t="n">
        <f aca="false">J104+L104+N104+P104+R104+T104+V104+X104+Z104+AB104+AD104+AF104+AH104+AJ104</f>
        <v>2</v>
      </c>
      <c r="AM104" s="21" t="n">
        <f aca="false">J104+L104+N104+P104+R104+T104+V104+X104+Z104+AB104+AD104+AF104+AH104+AJ104</f>
        <v>2</v>
      </c>
      <c r="AN104" s="21" t="n">
        <f aca="false">AL104+AM104</f>
        <v>4</v>
      </c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66"/>
      <c r="AZ104" s="41"/>
    </row>
    <row r="105" customFormat="false" ht="36.75" hidden="false" customHeight="true" outlineLevel="0" collapsed="false">
      <c r="A105" s="27" t="n">
        <v>6</v>
      </c>
      <c r="B105" s="69" t="s">
        <v>47</v>
      </c>
      <c r="C105" s="70" t="n">
        <v>199</v>
      </c>
      <c r="D105" s="70" t="n">
        <v>197</v>
      </c>
      <c r="E105" s="71" t="n">
        <v>125</v>
      </c>
      <c r="F105" s="71" t="n">
        <v>126</v>
      </c>
      <c r="G105" s="71" t="n">
        <v>23</v>
      </c>
      <c r="H105" s="71" t="n">
        <v>29</v>
      </c>
      <c r="I105" s="31" t="n">
        <f aca="false">E105+F105+G105+H105</f>
        <v>303</v>
      </c>
      <c r="J105" s="10"/>
      <c r="K105" s="10"/>
      <c r="L105" s="10"/>
      <c r="M105" s="10"/>
      <c r="N105" s="10"/>
      <c r="O105" s="10"/>
      <c r="P105" s="10" t="n">
        <v>2</v>
      </c>
      <c r="Q105" s="10" t="n">
        <v>4</v>
      </c>
      <c r="R105" s="10"/>
      <c r="S105" s="10"/>
      <c r="T105" s="10"/>
      <c r="U105" s="10"/>
      <c r="V105" s="10"/>
      <c r="W105" s="10"/>
      <c r="X105" s="10"/>
      <c r="Y105" s="10" t="n">
        <v>1</v>
      </c>
      <c r="Z105" s="10"/>
      <c r="AA105" s="10" t="n">
        <v>1</v>
      </c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21" t="n">
        <f aca="false">J105+L105+N105+P105+R105+T105+V105+X105+Z105+AB105+AD105+AF105+AH105+AJ105</f>
        <v>2</v>
      </c>
      <c r="AM105" s="21" t="n">
        <f aca="false">J105+L105+N105+P105+R105+T105+V105+X105+Z105+AB105+AD105+AF105+AH105+AJ105</f>
        <v>2</v>
      </c>
      <c r="AN105" s="21" t="n">
        <f aca="false">AL105+AM105</f>
        <v>4</v>
      </c>
      <c r="AO105" s="10"/>
      <c r="AP105" s="10"/>
      <c r="AQ105" s="10"/>
      <c r="AR105" s="10" t="n">
        <v>14</v>
      </c>
      <c r="AS105" s="10" t="n">
        <v>19</v>
      </c>
      <c r="AT105" s="10" t="n">
        <v>33</v>
      </c>
      <c r="AU105" s="10" t="n">
        <v>33</v>
      </c>
      <c r="AV105" s="10"/>
      <c r="AW105" s="10"/>
      <c r="AX105" s="10"/>
      <c r="AY105" s="66"/>
      <c r="AZ105" s="46"/>
    </row>
    <row r="106" customFormat="false" ht="15.75" hidden="false" customHeight="false" outlineLevel="0" collapsed="false">
      <c r="A106" s="15" t="s">
        <v>48</v>
      </c>
      <c r="B106" s="15"/>
      <c r="C106" s="31" t="n">
        <f aca="false">SUM(C100:C105)</f>
        <v>1651</v>
      </c>
      <c r="D106" s="31" t="n">
        <f aca="false">SUM(D100:D105)</f>
        <v>1636</v>
      </c>
      <c r="E106" s="31" t="n">
        <f aca="false">SUM(E100:E105)</f>
        <v>974</v>
      </c>
      <c r="F106" s="31" t="n">
        <f aca="false">SUM(F100:F105)</f>
        <v>1012</v>
      </c>
      <c r="G106" s="31" t="n">
        <f aca="false">SUM(G100:G105)</f>
        <v>237</v>
      </c>
      <c r="H106" s="31" t="n">
        <f aca="false">SUM(H100:H105)</f>
        <v>265</v>
      </c>
      <c r="I106" s="31" t="n">
        <f aca="false">SUM(I100:I105)</f>
        <v>2488</v>
      </c>
      <c r="J106" s="21" t="n">
        <f aca="false">SUM(J100:J105)</f>
        <v>0</v>
      </c>
      <c r="K106" s="21" t="n">
        <f aca="false">SUM(K100:K105)</f>
        <v>0</v>
      </c>
      <c r="L106" s="21" t="n">
        <f aca="false">SUM(L100:L105)</f>
        <v>0</v>
      </c>
      <c r="M106" s="21" t="n">
        <f aca="false">SUM(M100:M105)</f>
        <v>0</v>
      </c>
      <c r="N106" s="21" t="n">
        <f aca="false">SUM(N100:N105)</f>
        <v>0</v>
      </c>
      <c r="O106" s="21" t="n">
        <f aca="false">SUM(O100:O105)</f>
        <v>0</v>
      </c>
      <c r="P106" s="21" t="n">
        <f aca="false">SUM(P100:P105)</f>
        <v>11</v>
      </c>
      <c r="Q106" s="21" t="n">
        <f aca="false">SUM(Q100:Q105)</f>
        <v>15</v>
      </c>
      <c r="R106" s="21" t="n">
        <f aca="false">SUM(R100:R105)</f>
        <v>0</v>
      </c>
      <c r="S106" s="21" t="n">
        <f aca="false">SUM(S100:S105)</f>
        <v>0</v>
      </c>
      <c r="T106" s="21" t="n">
        <f aca="false">SUM(T100:T105)</f>
        <v>0</v>
      </c>
      <c r="U106" s="21" t="n">
        <f aca="false">SUM(U100:U105)</f>
        <v>0</v>
      </c>
      <c r="V106" s="21" t="n">
        <f aca="false">SUM(V100:V105)</f>
        <v>0</v>
      </c>
      <c r="W106" s="21" t="n">
        <f aca="false">SUM(W100:W105)</f>
        <v>0</v>
      </c>
      <c r="X106" s="21" t="n">
        <f aca="false">SUM(X100:X105)</f>
        <v>3</v>
      </c>
      <c r="Y106" s="21" t="n">
        <f aca="false">SUM(Y100:Y105)</f>
        <v>7</v>
      </c>
      <c r="Z106" s="21" t="n">
        <f aca="false">SUM(Z100:Z105)</f>
        <v>0</v>
      </c>
      <c r="AA106" s="21" t="n">
        <f aca="false">SUM(AA100:AA105)</f>
        <v>1</v>
      </c>
      <c r="AB106" s="21" t="n">
        <f aca="false">SUM(AB100:AB105)</f>
        <v>0</v>
      </c>
      <c r="AC106" s="21" t="n">
        <f aca="false">SUM(AC100:AC105)</f>
        <v>0</v>
      </c>
      <c r="AD106" s="21" t="n">
        <f aca="false">SUM(AD100:AD105)</f>
        <v>0</v>
      </c>
      <c r="AE106" s="21" t="n">
        <f aca="false">SUM(AE100:AE105)</f>
        <v>0</v>
      </c>
      <c r="AF106" s="21" t="n">
        <f aca="false">SUM(AF100:AF105)</f>
        <v>0</v>
      </c>
      <c r="AG106" s="21" t="n">
        <f aca="false">SUM(AG100:AG105)</f>
        <v>0</v>
      </c>
      <c r="AH106" s="21" t="n">
        <f aca="false">SUM(AH100:AH105)</f>
        <v>0</v>
      </c>
      <c r="AI106" s="21" t="n">
        <f aca="false">SUM(AI100:AI105)</f>
        <v>0</v>
      </c>
      <c r="AJ106" s="21" t="n">
        <f aca="false">SUM(AJ100:AJ105)</f>
        <v>0</v>
      </c>
      <c r="AK106" s="21" t="n">
        <f aca="false">SUM(AK100:AK105)</f>
        <v>0</v>
      </c>
      <c r="AL106" s="21" t="n">
        <f aca="false">SUM(AL100:AL105)</f>
        <v>14</v>
      </c>
      <c r="AM106" s="21" t="n">
        <f aca="false">SUM(AM100:AM105)</f>
        <v>14</v>
      </c>
      <c r="AN106" s="21" t="n">
        <f aca="false">SUM(AN100:AN105)</f>
        <v>28</v>
      </c>
      <c r="AO106" s="21" t="n">
        <f aca="false">SUM(AO100:AO105)</f>
        <v>223</v>
      </c>
      <c r="AP106" s="21" t="n">
        <f aca="false">SUM(AP100:AP105)</f>
        <v>3</v>
      </c>
      <c r="AQ106" s="21" t="n">
        <f aca="false">SUM(AQ100:AQ105)</f>
        <v>3</v>
      </c>
      <c r="AR106" s="21" t="n">
        <f aca="false">SUM(AR100:AR105)</f>
        <v>132</v>
      </c>
      <c r="AS106" s="21" t="n">
        <f aca="false">SUM(AS100:AS105)</f>
        <v>124</v>
      </c>
      <c r="AT106" s="21" t="n">
        <f aca="false">SUM(AT100:AT105)</f>
        <v>256</v>
      </c>
      <c r="AU106" s="21" t="n">
        <f aca="false">SUM(AU100:AU105)</f>
        <v>256</v>
      </c>
      <c r="AV106" s="21" t="n">
        <f aca="false">SUM(AV100:AV105)</f>
        <v>0</v>
      </c>
      <c r="AW106" s="21" t="n">
        <f aca="false">SUM(AW100:AW105)</f>
        <v>0</v>
      </c>
      <c r="AX106" s="21" t="n">
        <f aca="false">SUM(AX100:AX105)</f>
        <v>0</v>
      </c>
      <c r="AY106" s="67" t="n">
        <f aca="false">SUM(AY100:AY105)</f>
        <v>0</v>
      </c>
    </row>
    <row r="107" customFormat="false" ht="15.75" hidden="false" customHeight="false" outlineLevel="0" collapsed="false">
      <c r="AS107" s="54"/>
      <c r="AT107" s="55" t="s">
        <v>104</v>
      </c>
      <c r="AU107" s="55"/>
      <c r="AV107" s="55"/>
    </row>
    <row r="108" customFormat="false" ht="15.75" hidden="false" customHeight="false" outlineLevel="0" collapsed="false">
      <c r="C108" s="55"/>
      <c r="D108" s="55"/>
      <c r="E108" s="55"/>
      <c r="F108" s="55"/>
      <c r="G108" s="55"/>
      <c r="H108" s="55"/>
      <c r="I108" s="55"/>
      <c r="AS108" s="54"/>
    </row>
    <row r="109" customFormat="false" ht="15.75" hidden="false" customHeight="false" outlineLevel="0" collapsed="false">
      <c r="C109" s="55"/>
      <c r="D109" s="55"/>
      <c r="E109" s="55"/>
      <c r="F109" s="55"/>
      <c r="G109" s="55"/>
      <c r="H109" s="55"/>
      <c r="I109" s="55"/>
      <c r="AS109" s="54"/>
    </row>
    <row r="110" customFormat="false" ht="15.75" hidden="false" customHeight="false" outlineLevel="0" collapsed="false">
      <c r="AS110" s="54"/>
    </row>
    <row r="111" customFormat="false" ht="15.75" hidden="false" customHeight="false" outlineLevel="0" collapsed="false">
      <c r="A111" s="2" t="s">
        <v>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customFormat="false" ht="15.75" hidden="false" customHeight="false" outlineLevel="0" collapsed="false">
      <c r="A113" s="3" t="s">
        <v>67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customFormat="false" ht="15.75" hidden="false" customHeight="false" outlineLevel="0" collapsed="false">
      <c r="A114" s="3" t="s">
        <v>3</v>
      </c>
      <c r="B114" s="4" t="s">
        <v>68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customFormat="false" ht="15.75" hidden="false" customHeight="false" outlineLevel="0" collapsed="false">
      <c r="A115" s="3" t="s">
        <v>108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customFormat="false" ht="15.75" hidden="false" customHeight="false" outlineLevel="0" collapsed="false">
      <c r="A116" s="4"/>
      <c r="B116" s="4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customFormat="false" ht="22.5" hidden="false" customHeight="true" outlineLevel="0" collapsed="false">
      <c r="A117" s="7" t="s">
        <v>7</v>
      </c>
      <c r="B117" s="8" t="s">
        <v>8</v>
      </c>
      <c r="C117" s="10" t="s">
        <v>14</v>
      </c>
      <c r="D117" s="10"/>
      <c r="E117" s="10"/>
      <c r="F117" s="10"/>
      <c r="G117" s="10"/>
      <c r="H117" s="11"/>
      <c r="I117" s="11"/>
      <c r="J117" s="7" t="s">
        <v>70</v>
      </c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8" t="s">
        <v>71</v>
      </c>
      <c r="AM117" s="8"/>
      <c r="AN117" s="8"/>
      <c r="AO117" s="7" t="s">
        <v>72</v>
      </c>
      <c r="AP117" s="7"/>
      <c r="AQ117" s="7"/>
      <c r="AR117" s="7" t="s">
        <v>73</v>
      </c>
      <c r="AS117" s="7"/>
      <c r="AT117" s="7"/>
      <c r="AU117" s="8" t="s">
        <v>74</v>
      </c>
      <c r="AV117" s="8" t="s">
        <v>75</v>
      </c>
      <c r="AW117" s="8" t="s">
        <v>76</v>
      </c>
      <c r="AX117" s="8" t="s">
        <v>77</v>
      </c>
      <c r="AY117" s="59" t="s">
        <v>78</v>
      </c>
    </row>
    <row r="118" customFormat="false" ht="15" hidden="false" customHeight="true" outlineLevel="0" collapsed="false">
      <c r="A118" s="7"/>
      <c r="B118" s="8"/>
      <c r="C118" s="7" t="s">
        <v>22</v>
      </c>
      <c r="D118" s="7"/>
      <c r="E118" s="7" t="s">
        <v>23</v>
      </c>
      <c r="F118" s="7"/>
      <c r="G118" s="7" t="s">
        <v>24</v>
      </c>
      <c r="H118" s="7"/>
      <c r="I118" s="8" t="s">
        <v>25</v>
      </c>
      <c r="J118" s="8" t="s">
        <v>79</v>
      </c>
      <c r="K118" s="8"/>
      <c r="L118" s="7" t="s">
        <v>80</v>
      </c>
      <c r="M118" s="7"/>
      <c r="N118" s="7"/>
      <c r="O118" s="7"/>
      <c r="P118" s="7" t="s">
        <v>81</v>
      </c>
      <c r="Q118" s="7"/>
      <c r="R118" s="7"/>
      <c r="S118" s="7"/>
      <c r="T118" s="8" t="s">
        <v>82</v>
      </c>
      <c r="U118" s="8"/>
      <c r="V118" s="8" t="s">
        <v>83</v>
      </c>
      <c r="W118" s="8"/>
      <c r="X118" s="8" t="s">
        <v>84</v>
      </c>
      <c r="Y118" s="8"/>
      <c r="Z118" s="8" t="s">
        <v>85</v>
      </c>
      <c r="AA118" s="8"/>
      <c r="AB118" s="8" t="s">
        <v>86</v>
      </c>
      <c r="AC118" s="8"/>
      <c r="AD118" s="8" t="s">
        <v>87</v>
      </c>
      <c r="AE118" s="8"/>
      <c r="AF118" s="8" t="s">
        <v>88</v>
      </c>
      <c r="AG118" s="8"/>
      <c r="AH118" s="8" t="s">
        <v>89</v>
      </c>
      <c r="AI118" s="8"/>
      <c r="AJ118" s="8" t="s">
        <v>90</v>
      </c>
      <c r="AK118" s="8"/>
      <c r="AL118" s="8"/>
      <c r="AM118" s="8"/>
      <c r="AN118" s="8"/>
      <c r="AO118" s="7" t="s">
        <v>91</v>
      </c>
      <c r="AP118" s="7" t="s">
        <v>92</v>
      </c>
      <c r="AQ118" s="7" t="s">
        <v>93</v>
      </c>
      <c r="AR118" s="7"/>
      <c r="AS118" s="7"/>
      <c r="AT118" s="7"/>
      <c r="AU118" s="8"/>
      <c r="AV118" s="8"/>
      <c r="AW118" s="8"/>
      <c r="AX118" s="8"/>
      <c r="AY118" s="59"/>
    </row>
    <row r="119" customFormat="false" ht="27" hidden="false" customHeight="true" outlineLevel="0" collapsed="false">
      <c r="A119" s="7"/>
      <c r="B119" s="8"/>
      <c r="C119" s="7" t="s">
        <v>29</v>
      </c>
      <c r="D119" s="7" t="s">
        <v>30</v>
      </c>
      <c r="E119" s="7" t="s">
        <v>29</v>
      </c>
      <c r="F119" s="7" t="s">
        <v>30</v>
      </c>
      <c r="G119" s="7" t="s">
        <v>29</v>
      </c>
      <c r="H119" s="7" t="s">
        <v>30</v>
      </c>
      <c r="I119" s="8"/>
      <c r="J119" s="8"/>
      <c r="K119" s="8"/>
      <c r="L119" s="7" t="s">
        <v>29</v>
      </c>
      <c r="M119" s="7"/>
      <c r="N119" s="7" t="s">
        <v>94</v>
      </c>
      <c r="O119" s="7"/>
      <c r="P119" s="7" t="s">
        <v>95</v>
      </c>
      <c r="Q119" s="7"/>
      <c r="R119" s="7" t="s">
        <v>96</v>
      </c>
      <c r="S119" s="7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7"/>
      <c r="AP119" s="7"/>
      <c r="AQ119" s="7"/>
      <c r="AR119" s="60" t="s">
        <v>97</v>
      </c>
      <c r="AS119" s="60" t="s">
        <v>98</v>
      </c>
      <c r="AT119" s="60" t="s">
        <v>99</v>
      </c>
      <c r="AU119" s="8"/>
      <c r="AV119" s="8"/>
      <c r="AW119" s="8"/>
      <c r="AX119" s="8"/>
      <c r="AY119" s="59"/>
    </row>
    <row r="120" customFormat="false" ht="60.75" hidden="false" customHeight="true" outlineLevel="0" collapsed="false">
      <c r="A120" s="7"/>
      <c r="B120" s="8"/>
      <c r="C120" s="7"/>
      <c r="D120" s="7"/>
      <c r="E120" s="7"/>
      <c r="F120" s="7"/>
      <c r="G120" s="7"/>
      <c r="H120" s="7"/>
      <c r="I120" s="8"/>
      <c r="J120" s="8" t="s">
        <v>29</v>
      </c>
      <c r="K120" s="8" t="s">
        <v>30</v>
      </c>
      <c r="L120" s="8" t="s">
        <v>29</v>
      </c>
      <c r="M120" s="8" t="s">
        <v>30</v>
      </c>
      <c r="N120" s="8" t="s">
        <v>29</v>
      </c>
      <c r="O120" s="8" t="s">
        <v>30</v>
      </c>
      <c r="P120" s="8" t="s">
        <v>29</v>
      </c>
      <c r="Q120" s="8" t="s">
        <v>30</v>
      </c>
      <c r="R120" s="8" t="s">
        <v>29</v>
      </c>
      <c r="S120" s="8" t="s">
        <v>30</v>
      </c>
      <c r="T120" s="8" t="s">
        <v>29</v>
      </c>
      <c r="U120" s="8" t="s">
        <v>30</v>
      </c>
      <c r="V120" s="8" t="s">
        <v>29</v>
      </c>
      <c r="W120" s="8" t="s">
        <v>30</v>
      </c>
      <c r="X120" s="8" t="s">
        <v>29</v>
      </c>
      <c r="Y120" s="8" t="s">
        <v>30</v>
      </c>
      <c r="Z120" s="8" t="s">
        <v>29</v>
      </c>
      <c r="AA120" s="8" t="s">
        <v>30</v>
      </c>
      <c r="AB120" s="8" t="s">
        <v>29</v>
      </c>
      <c r="AC120" s="8" t="s">
        <v>30</v>
      </c>
      <c r="AD120" s="8" t="s">
        <v>29</v>
      </c>
      <c r="AE120" s="8" t="s">
        <v>30</v>
      </c>
      <c r="AF120" s="8" t="s">
        <v>29</v>
      </c>
      <c r="AG120" s="8" t="s">
        <v>30</v>
      </c>
      <c r="AH120" s="8" t="s">
        <v>29</v>
      </c>
      <c r="AI120" s="8" t="s">
        <v>30</v>
      </c>
      <c r="AJ120" s="8" t="s">
        <v>29</v>
      </c>
      <c r="AK120" s="8" t="s">
        <v>30</v>
      </c>
      <c r="AL120" s="8" t="s">
        <v>29</v>
      </c>
      <c r="AM120" s="8" t="s">
        <v>30</v>
      </c>
      <c r="AN120" s="8" t="s">
        <v>31</v>
      </c>
      <c r="AO120" s="7"/>
      <c r="AP120" s="7"/>
      <c r="AQ120" s="7"/>
      <c r="AR120" s="60"/>
      <c r="AS120" s="60"/>
      <c r="AT120" s="60"/>
      <c r="AU120" s="8"/>
      <c r="AV120" s="8"/>
      <c r="AW120" s="8"/>
      <c r="AX120" s="8"/>
      <c r="AY120" s="59"/>
    </row>
    <row r="121" customFormat="false" ht="13.5" hidden="false" customHeight="true" outlineLevel="0" collapsed="false">
      <c r="A121" s="22" t="n">
        <v>1</v>
      </c>
      <c r="B121" s="23" t="n">
        <v>2</v>
      </c>
      <c r="C121" s="24" t="n">
        <v>3</v>
      </c>
      <c r="D121" s="24"/>
      <c r="E121" s="24"/>
      <c r="F121" s="24"/>
      <c r="G121" s="24"/>
      <c r="H121" s="24"/>
      <c r="I121" s="61" t="n">
        <v>4</v>
      </c>
      <c r="J121" s="24" t="n">
        <v>5</v>
      </c>
      <c r="K121" s="24"/>
      <c r="L121" s="24" t="n">
        <v>6</v>
      </c>
      <c r="M121" s="24"/>
      <c r="N121" s="24"/>
      <c r="O121" s="24"/>
      <c r="P121" s="24" t="n">
        <v>7</v>
      </c>
      <c r="Q121" s="24"/>
      <c r="R121" s="24"/>
      <c r="S121" s="24"/>
      <c r="T121" s="24" t="n">
        <v>8</v>
      </c>
      <c r="U121" s="24"/>
      <c r="V121" s="24" t="n">
        <v>9</v>
      </c>
      <c r="W121" s="24"/>
      <c r="X121" s="24" t="n">
        <f aca="false">+V121+1</f>
        <v>10</v>
      </c>
      <c r="Y121" s="24"/>
      <c r="Z121" s="24" t="n">
        <f aca="false">+X121+1</f>
        <v>11</v>
      </c>
      <c r="AA121" s="24"/>
      <c r="AB121" s="24" t="n">
        <f aca="false">+Z121+1</f>
        <v>12</v>
      </c>
      <c r="AC121" s="24"/>
      <c r="AD121" s="24" t="n">
        <f aca="false">+AB121+1</f>
        <v>13</v>
      </c>
      <c r="AE121" s="24"/>
      <c r="AF121" s="24" t="n">
        <f aca="false">+AD121+1</f>
        <v>14</v>
      </c>
      <c r="AG121" s="24"/>
      <c r="AH121" s="24" t="n">
        <f aca="false">+AF121+1</f>
        <v>15</v>
      </c>
      <c r="AI121" s="24"/>
      <c r="AJ121" s="24" t="n">
        <f aca="false">+AH121+1</f>
        <v>16</v>
      </c>
      <c r="AK121" s="24"/>
      <c r="AL121" s="24" t="n">
        <f aca="false">+AJ121+1</f>
        <v>17</v>
      </c>
      <c r="AM121" s="24"/>
      <c r="AN121" s="24"/>
      <c r="AO121" s="23" t="n">
        <v>18</v>
      </c>
      <c r="AP121" s="23"/>
      <c r="AQ121" s="23"/>
      <c r="AR121" s="62" t="n">
        <v>19</v>
      </c>
      <c r="AS121" s="62"/>
      <c r="AT121" s="62"/>
      <c r="AU121" s="63" t="n">
        <v>20</v>
      </c>
      <c r="AV121" s="24" t="n">
        <v>21</v>
      </c>
      <c r="AW121" s="24" t="n">
        <v>22</v>
      </c>
      <c r="AX121" s="24" t="n">
        <v>23</v>
      </c>
      <c r="AY121" s="23" t="n">
        <v>24</v>
      </c>
      <c r="AZ121" s="64"/>
    </row>
    <row r="122" customFormat="false" ht="32.25" hidden="false" customHeight="true" outlineLevel="0" collapsed="false">
      <c r="A122" s="27" t="n">
        <v>1</v>
      </c>
      <c r="B122" s="69" t="s">
        <v>42</v>
      </c>
      <c r="C122" s="70" t="n">
        <v>443</v>
      </c>
      <c r="D122" s="70" t="n">
        <v>437</v>
      </c>
      <c r="E122" s="71" t="n">
        <v>272</v>
      </c>
      <c r="F122" s="71" t="n">
        <v>276</v>
      </c>
      <c r="G122" s="71" t="n">
        <v>17</v>
      </c>
      <c r="H122" s="71" t="n">
        <v>18</v>
      </c>
      <c r="I122" s="31" t="n">
        <f aca="false">E122+F122+G122+H122</f>
        <v>583</v>
      </c>
      <c r="J122" s="10"/>
      <c r="K122" s="10"/>
      <c r="L122" s="10" t="n">
        <v>1</v>
      </c>
      <c r="M122" s="10" t="n">
        <v>2</v>
      </c>
      <c r="N122" s="10"/>
      <c r="O122" s="10" t="n">
        <v>3</v>
      </c>
      <c r="P122" s="10" t="n">
        <v>9</v>
      </c>
      <c r="Q122" s="10" t="n">
        <v>9</v>
      </c>
      <c r="R122" s="10"/>
      <c r="S122" s="10"/>
      <c r="T122" s="10"/>
      <c r="U122" s="10"/>
      <c r="V122" s="10"/>
      <c r="W122" s="10"/>
      <c r="X122" s="10" t="n">
        <v>3</v>
      </c>
      <c r="Y122" s="10" t="n">
        <v>5</v>
      </c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21" t="n">
        <f aca="false">J122+L122+N122+P122+R122+T122+V122+X122+Z122+AB122+AD122+AF122+AH122+AJ122</f>
        <v>13</v>
      </c>
      <c r="AM122" s="21" t="n">
        <f aca="false">J122+L122+N122+P122+R122+T122+V122+X122+Z122+AB122+AD122+AF122+AH122+AJ122</f>
        <v>13</v>
      </c>
      <c r="AN122" s="21" t="n">
        <f aca="false">AL122+AM122</f>
        <v>26</v>
      </c>
      <c r="AO122" s="10" t="n">
        <v>107</v>
      </c>
      <c r="AP122" s="10"/>
      <c r="AQ122" s="10"/>
      <c r="AR122" s="65" t="n">
        <v>101</v>
      </c>
      <c r="AS122" s="65" t="n">
        <v>106</v>
      </c>
      <c r="AT122" s="65" t="n">
        <v>207</v>
      </c>
      <c r="AU122" s="10" t="n">
        <v>207</v>
      </c>
      <c r="AV122" s="10"/>
      <c r="AW122" s="10"/>
      <c r="AX122" s="10" t="n">
        <v>3</v>
      </c>
      <c r="AY122" s="66"/>
      <c r="AZ122" s="41"/>
    </row>
    <row r="123" customFormat="false" ht="32.25" hidden="false" customHeight="true" outlineLevel="0" collapsed="false">
      <c r="A123" s="27" t="n">
        <v>2</v>
      </c>
      <c r="B123" s="69" t="s">
        <v>43</v>
      </c>
      <c r="C123" s="70" t="n">
        <v>255</v>
      </c>
      <c r="D123" s="70" t="n">
        <v>252</v>
      </c>
      <c r="E123" s="71" t="n">
        <v>163</v>
      </c>
      <c r="F123" s="71" t="n">
        <v>169</v>
      </c>
      <c r="G123" s="71" t="n">
        <v>64</v>
      </c>
      <c r="H123" s="71" t="n">
        <v>63</v>
      </c>
      <c r="I123" s="31" t="n">
        <f aca="false">E123+F123+G123+H123</f>
        <v>459</v>
      </c>
      <c r="J123" s="10"/>
      <c r="K123" s="10"/>
      <c r="L123" s="10" t="n">
        <v>2</v>
      </c>
      <c r="M123" s="10" t="n">
        <v>5</v>
      </c>
      <c r="N123" s="10"/>
      <c r="O123" s="10" t="n">
        <v>2</v>
      </c>
      <c r="P123" s="10" t="n">
        <v>2</v>
      </c>
      <c r="Q123" s="10" t="n">
        <v>2</v>
      </c>
      <c r="R123" s="10"/>
      <c r="S123" s="10"/>
      <c r="T123" s="10"/>
      <c r="U123" s="10"/>
      <c r="V123" s="10"/>
      <c r="W123" s="10" t="n">
        <v>2</v>
      </c>
      <c r="X123" s="10"/>
      <c r="Y123" s="10" t="n">
        <v>1</v>
      </c>
      <c r="Z123" s="10"/>
      <c r="AA123" s="10" t="n">
        <v>1</v>
      </c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21" t="n">
        <f aca="false">J123+L123+N123+P123+R123+T123+V123+X123+Z123+AB123+AD123+AF123+AH123+AJ123</f>
        <v>4</v>
      </c>
      <c r="AM123" s="21" t="n">
        <f aca="false">J123+L123+N123+P123+R123+T123+V123+X123+Z123+AB123+AD123+AF123+AH123+AJ123</f>
        <v>4</v>
      </c>
      <c r="AN123" s="21" t="n">
        <f aca="false">AL123+AM123</f>
        <v>8</v>
      </c>
      <c r="AO123" s="10" t="n">
        <v>38</v>
      </c>
      <c r="AP123" s="10" t="n">
        <v>6</v>
      </c>
      <c r="AQ123" s="10" t="n">
        <v>4</v>
      </c>
      <c r="AR123" s="10" t="n">
        <v>38</v>
      </c>
      <c r="AS123" s="10"/>
      <c r="AT123" s="10" t="n">
        <v>38</v>
      </c>
      <c r="AU123" s="10"/>
      <c r="AV123" s="10"/>
      <c r="AW123" s="10"/>
      <c r="AX123" s="10" t="n">
        <v>7</v>
      </c>
      <c r="AY123" s="66"/>
      <c r="AZ123" s="41"/>
    </row>
    <row r="124" customFormat="false" ht="32.25" hidden="false" customHeight="true" outlineLevel="0" collapsed="false">
      <c r="A124" s="27" t="n">
        <v>3</v>
      </c>
      <c r="B124" s="69" t="s">
        <v>100</v>
      </c>
      <c r="C124" s="70" t="n">
        <v>315</v>
      </c>
      <c r="D124" s="70" t="n">
        <v>312</v>
      </c>
      <c r="E124" s="71" t="n">
        <v>198</v>
      </c>
      <c r="F124" s="71" t="n">
        <v>202</v>
      </c>
      <c r="G124" s="71" t="n">
        <v>52</v>
      </c>
      <c r="H124" s="71" t="n">
        <v>55</v>
      </c>
      <c r="I124" s="31" t="n">
        <f aca="false">E124+F124+G124+H124</f>
        <v>507</v>
      </c>
      <c r="J124" s="10"/>
      <c r="K124" s="10"/>
      <c r="L124" s="10" t="n">
        <v>1</v>
      </c>
      <c r="M124" s="10" t="n">
        <v>3</v>
      </c>
      <c r="N124" s="10" t="n">
        <v>1</v>
      </c>
      <c r="O124" s="10" t="n">
        <v>2</v>
      </c>
      <c r="P124" s="10" t="n">
        <v>2</v>
      </c>
      <c r="Q124" s="10" t="n">
        <v>4</v>
      </c>
      <c r="R124" s="10"/>
      <c r="S124" s="10"/>
      <c r="T124" s="10"/>
      <c r="U124" s="10"/>
      <c r="V124" s="10"/>
      <c r="W124" s="10" t="n">
        <v>1</v>
      </c>
      <c r="X124" s="10"/>
      <c r="Y124" s="10" t="n">
        <v>1</v>
      </c>
      <c r="Z124" s="10"/>
      <c r="AA124" s="10" t="n">
        <v>2</v>
      </c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21" t="n">
        <f aca="false">J124+L124+N124+P124+R124+T124+V124+X124+Z124+AB124+AD124+AF124+AH124+AJ124</f>
        <v>4</v>
      </c>
      <c r="AM124" s="21" t="n">
        <f aca="false">J124+L124+N124+P124+R124+T124+V124+X124+Z124+AB124+AD124+AF124+AH124+AJ124</f>
        <v>4</v>
      </c>
      <c r="AN124" s="21" t="n">
        <f aca="false">AL124+AM124</f>
        <v>8</v>
      </c>
      <c r="AO124" s="10" t="n">
        <v>25</v>
      </c>
      <c r="AP124" s="10" t="n">
        <v>3</v>
      </c>
      <c r="AQ124" s="10"/>
      <c r="AR124" s="10" t="n">
        <v>25</v>
      </c>
      <c r="AS124" s="10"/>
      <c r="AT124" s="10" t="n">
        <v>20</v>
      </c>
      <c r="AU124" s="10"/>
      <c r="AV124" s="10"/>
      <c r="AW124" s="10"/>
      <c r="AX124" s="10" t="n">
        <v>8</v>
      </c>
      <c r="AY124" s="59"/>
      <c r="AZ124" s="41"/>
    </row>
    <row r="125" customFormat="false" ht="32.25" hidden="false" customHeight="true" outlineLevel="0" collapsed="false">
      <c r="A125" s="27" t="n">
        <v>4</v>
      </c>
      <c r="B125" s="69" t="s">
        <v>101</v>
      </c>
      <c r="C125" s="70" t="n">
        <v>201</v>
      </c>
      <c r="D125" s="70" t="n">
        <v>199</v>
      </c>
      <c r="E125" s="71" t="n">
        <v>121</v>
      </c>
      <c r="F125" s="71" t="n">
        <v>125</v>
      </c>
      <c r="G125" s="71" t="n">
        <v>26</v>
      </c>
      <c r="H125" s="71" t="n">
        <v>33</v>
      </c>
      <c r="I125" s="31" t="n">
        <f aca="false">E125+F125+G125+H125</f>
        <v>305</v>
      </c>
      <c r="J125" s="10"/>
      <c r="K125" s="10"/>
      <c r="L125" s="10" t="n">
        <v>2</v>
      </c>
      <c r="M125" s="10" t="n">
        <v>6</v>
      </c>
      <c r="N125" s="10" t="n">
        <v>1</v>
      </c>
      <c r="O125" s="10" t="n">
        <v>4</v>
      </c>
      <c r="P125" s="10" t="n">
        <v>3</v>
      </c>
      <c r="Q125" s="10" t="n">
        <v>6</v>
      </c>
      <c r="R125" s="10"/>
      <c r="S125" s="10"/>
      <c r="T125" s="10"/>
      <c r="U125" s="10"/>
      <c r="V125" s="10"/>
      <c r="W125" s="10" t="n">
        <v>3</v>
      </c>
      <c r="X125" s="10" t="n">
        <v>1</v>
      </c>
      <c r="Y125" s="10" t="n">
        <v>6</v>
      </c>
      <c r="Z125" s="10" t="n">
        <v>1</v>
      </c>
      <c r="AA125" s="10" t="n">
        <v>2</v>
      </c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21" t="n">
        <f aca="false">J125+L125+N125+P125+R125+T125+V125+X125+Z125+AB125+AD125+AF125+AH125+AJ125</f>
        <v>8</v>
      </c>
      <c r="AM125" s="21" t="n">
        <f aca="false">J125+L125+N125+P125+R125+T125+V125+X125+Z125+AB125+AD125+AF125+AH125+AJ125</f>
        <v>8</v>
      </c>
      <c r="AN125" s="21" t="n">
        <f aca="false">AL125+AM125</f>
        <v>16</v>
      </c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66"/>
      <c r="AZ125" s="41"/>
    </row>
    <row r="126" customFormat="false" ht="32.25" hidden="false" customHeight="true" outlineLevel="0" collapsed="false">
      <c r="A126" s="27" t="n">
        <v>5</v>
      </c>
      <c r="B126" s="69" t="s">
        <v>102</v>
      </c>
      <c r="C126" s="70" t="n">
        <v>238</v>
      </c>
      <c r="D126" s="70" t="n">
        <v>239</v>
      </c>
      <c r="E126" s="71" t="n">
        <v>95</v>
      </c>
      <c r="F126" s="71" t="n">
        <v>114</v>
      </c>
      <c r="G126" s="71" t="n">
        <v>55</v>
      </c>
      <c r="H126" s="71" t="n">
        <v>67</v>
      </c>
      <c r="I126" s="31" t="n">
        <f aca="false">SUM(E126:H126)</f>
        <v>331</v>
      </c>
      <c r="J126" s="10"/>
      <c r="K126" s="10"/>
      <c r="L126" s="10"/>
      <c r="M126" s="10" t="n">
        <v>2</v>
      </c>
      <c r="N126" s="10"/>
      <c r="O126" s="10" t="n">
        <v>2</v>
      </c>
      <c r="P126" s="10"/>
      <c r="Q126" s="10" t="n">
        <v>2</v>
      </c>
      <c r="R126" s="10"/>
      <c r="S126" s="10"/>
      <c r="T126" s="10"/>
      <c r="U126" s="10"/>
      <c r="V126" s="10"/>
      <c r="W126" s="10" t="n">
        <v>2</v>
      </c>
      <c r="X126" s="10" t="n">
        <v>1</v>
      </c>
      <c r="Y126" s="10" t="n">
        <v>1</v>
      </c>
      <c r="Z126" s="10"/>
      <c r="AA126" s="10" t="n">
        <v>2</v>
      </c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21" t="n">
        <f aca="false">J126+L126+N126+P126+R126+T126+V126+X126+Z126+AB126+AD126+AF126+AH126+AJ126</f>
        <v>1</v>
      </c>
      <c r="AM126" s="21" t="n">
        <f aca="false">J126+L126+N126+P126+R126+T126+V126+X126+Z126+AB126+AD126+AF126+AH126+AJ126</f>
        <v>1</v>
      </c>
      <c r="AN126" s="21" t="n">
        <f aca="false">AL126+AM126</f>
        <v>2</v>
      </c>
      <c r="AO126" s="10"/>
      <c r="AP126" s="10"/>
      <c r="AQ126" s="10"/>
      <c r="AR126" s="10"/>
      <c r="AS126" s="10"/>
      <c r="AT126" s="10"/>
      <c r="AU126" s="10"/>
      <c r="AV126" s="10"/>
      <c r="AW126" s="10"/>
      <c r="AX126" s="10" t="n">
        <v>7</v>
      </c>
      <c r="AY126" s="66"/>
      <c r="AZ126" s="41"/>
    </row>
    <row r="127" customFormat="false" ht="36.75" hidden="false" customHeight="true" outlineLevel="0" collapsed="false">
      <c r="A127" s="27" t="n">
        <v>6</v>
      </c>
      <c r="B127" s="69" t="s">
        <v>47</v>
      </c>
      <c r="C127" s="70" t="n">
        <v>199</v>
      </c>
      <c r="D127" s="70" t="n">
        <v>197</v>
      </c>
      <c r="E127" s="71" t="n">
        <v>125</v>
      </c>
      <c r="F127" s="71" t="n">
        <v>126</v>
      </c>
      <c r="G127" s="71" t="n">
        <v>23</v>
      </c>
      <c r="H127" s="71" t="n">
        <v>29</v>
      </c>
      <c r="I127" s="31" t="n">
        <f aca="false">E127+F127+G127+H127</f>
        <v>303</v>
      </c>
      <c r="J127" s="10"/>
      <c r="K127" s="10"/>
      <c r="L127" s="10" t="n">
        <v>1</v>
      </c>
      <c r="M127" s="10" t="n">
        <v>3</v>
      </c>
      <c r="N127" s="10"/>
      <c r="O127" s="10" t="n">
        <v>2</v>
      </c>
      <c r="P127" s="10" t="n">
        <v>3</v>
      </c>
      <c r="Q127" s="10" t="n">
        <v>3</v>
      </c>
      <c r="R127" s="10"/>
      <c r="S127" s="10"/>
      <c r="T127" s="10"/>
      <c r="U127" s="10"/>
      <c r="V127" s="10"/>
      <c r="W127" s="10"/>
      <c r="X127" s="10"/>
      <c r="Y127" s="10" t="n">
        <v>2</v>
      </c>
      <c r="Z127" s="10"/>
      <c r="AA127" s="10" t="n">
        <v>3</v>
      </c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21" t="n">
        <f aca="false">J127+L127+N127+P127+R127+T127+V127+X127+Z127+AB127+AD127+AF127+AH127+AJ127</f>
        <v>4</v>
      </c>
      <c r="AM127" s="21" t="n">
        <f aca="false">J127+L127+N127+P127+R127+T127+V127+X127+Z127+AB127+AD127+AF127+AH127+AJ127</f>
        <v>4</v>
      </c>
      <c r="AN127" s="21" t="n">
        <f aca="false">AL127+AM127</f>
        <v>8</v>
      </c>
      <c r="AO127" s="10"/>
      <c r="AP127" s="10"/>
      <c r="AQ127" s="10"/>
      <c r="AR127" s="10"/>
      <c r="AS127" s="10"/>
      <c r="AT127" s="10"/>
      <c r="AU127" s="10"/>
      <c r="AV127" s="10"/>
      <c r="AW127" s="10"/>
      <c r="AX127" s="10" t="n">
        <v>2</v>
      </c>
      <c r="AY127" s="66"/>
      <c r="AZ127" s="46"/>
    </row>
    <row r="128" customFormat="false" ht="15.75" hidden="false" customHeight="false" outlineLevel="0" collapsed="false">
      <c r="A128" s="15" t="s">
        <v>48</v>
      </c>
      <c r="B128" s="15"/>
      <c r="C128" s="31" t="n">
        <f aca="false">SUM(C122:C127)</f>
        <v>1651</v>
      </c>
      <c r="D128" s="31" t="n">
        <f aca="false">SUM(D122:D127)</f>
        <v>1636</v>
      </c>
      <c r="E128" s="31" t="n">
        <f aca="false">SUM(E122:E127)</f>
        <v>974</v>
      </c>
      <c r="F128" s="31" t="n">
        <f aca="false">SUM(F122:F127)</f>
        <v>1012</v>
      </c>
      <c r="G128" s="31" t="n">
        <f aca="false">SUM(G122:G127)</f>
        <v>237</v>
      </c>
      <c r="H128" s="31" t="n">
        <f aca="false">SUM(H122:H127)</f>
        <v>265</v>
      </c>
      <c r="I128" s="31" t="n">
        <f aca="false">SUM(I122:I127)</f>
        <v>2488</v>
      </c>
      <c r="J128" s="21" t="n">
        <f aca="false">SUM(J122:J127)</f>
        <v>0</v>
      </c>
      <c r="K128" s="21" t="n">
        <f aca="false">SUM(K122:K127)</f>
        <v>0</v>
      </c>
      <c r="L128" s="21" t="n">
        <f aca="false">SUM(L122:L127)</f>
        <v>7</v>
      </c>
      <c r="M128" s="21" t="n">
        <f aca="false">SUM(M122:M127)</f>
        <v>21</v>
      </c>
      <c r="N128" s="21" t="n">
        <f aca="false">SUM(N122:N127)</f>
        <v>2</v>
      </c>
      <c r="O128" s="21" t="n">
        <f aca="false">SUM(O122:O127)</f>
        <v>15</v>
      </c>
      <c r="P128" s="21" t="n">
        <f aca="false">SUM(P122:P127)</f>
        <v>19</v>
      </c>
      <c r="Q128" s="21" t="n">
        <f aca="false">SUM(Q122:Q127)</f>
        <v>26</v>
      </c>
      <c r="R128" s="21" t="n">
        <f aca="false">SUM(R122:R127)</f>
        <v>0</v>
      </c>
      <c r="S128" s="21" t="n">
        <f aca="false">SUM(S122:S127)</f>
        <v>0</v>
      </c>
      <c r="T128" s="21" t="n">
        <f aca="false">SUM(T122:T127)</f>
        <v>0</v>
      </c>
      <c r="U128" s="21" t="n">
        <f aca="false">SUM(U122:U127)</f>
        <v>0</v>
      </c>
      <c r="V128" s="21" t="n">
        <f aca="false">SUM(V122:V127)</f>
        <v>0</v>
      </c>
      <c r="W128" s="21" t="n">
        <f aca="false">SUM(W122:W127)</f>
        <v>8</v>
      </c>
      <c r="X128" s="21" t="n">
        <f aca="false">SUM(X122:X127)</f>
        <v>5</v>
      </c>
      <c r="Y128" s="21" t="n">
        <f aca="false">SUM(Y122:Y127)</f>
        <v>16</v>
      </c>
      <c r="Z128" s="21" t="n">
        <f aca="false">SUM(Z122:Z127)</f>
        <v>1</v>
      </c>
      <c r="AA128" s="21" t="n">
        <f aca="false">SUM(AA122:AA127)</f>
        <v>10</v>
      </c>
      <c r="AB128" s="21" t="n">
        <f aca="false">SUM(AB122:AB127)</f>
        <v>0</v>
      </c>
      <c r="AC128" s="21" t="n">
        <f aca="false">SUM(AC122:AC127)</f>
        <v>0</v>
      </c>
      <c r="AD128" s="21" t="n">
        <f aca="false">SUM(AD122:AD127)</f>
        <v>0</v>
      </c>
      <c r="AE128" s="21" t="n">
        <f aca="false">SUM(AE122:AE127)</f>
        <v>0</v>
      </c>
      <c r="AF128" s="21" t="n">
        <f aca="false">SUM(AF122:AF127)</f>
        <v>0</v>
      </c>
      <c r="AG128" s="21" t="n">
        <f aca="false">SUM(AG122:AG127)</f>
        <v>0</v>
      </c>
      <c r="AH128" s="21" t="n">
        <f aca="false">SUM(AH122:AH127)</f>
        <v>0</v>
      </c>
      <c r="AI128" s="21" t="n">
        <f aca="false">SUM(AI122:AI127)</f>
        <v>0</v>
      </c>
      <c r="AJ128" s="21" t="n">
        <f aca="false">SUM(AJ122:AJ127)</f>
        <v>0</v>
      </c>
      <c r="AK128" s="21" t="n">
        <f aca="false">SUM(AK122:AK127)</f>
        <v>0</v>
      </c>
      <c r="AL128" s="21" t="n">
        <f aca="false">SUM(AL122:AL127)</f>
        <v>34</v>
      </c>
      <c r="AM128" s="21" t="n">
        <f aca="false">SUM(AM122:AM127)</f>
        <v>34</v>
      </c>
      <c r="AN128" s="21" t="n">
        <f aca="false">SUM(AN122:AN127)</f>
        <v>68</v>
      </c>
      <c r="AO128" s="21" t="n">
        <f aca="false">SUM(AO122:AO127)</f>
        <v>170</v>
      </c>
      <c r="AP128" s="21" t="n">
        <f aca="false">SUM(AP122:AP127)</f>
        <v>9</v>
      </c>
      <c r="AQ128" s="21" t="n">
        <f aca="false">SUM(AQ122:AQ127)</f>
        <v>4</v>
      </c>
      <c r="AR128" s="21" t="n">
        <f aca="false">SUM(AR122:AR127)</f>
        <v>164</v>
      </c>
      <c r="AS128" s="21" t="n">
        <f aca="false">SUM(AS122:AS127)</f>
        <v>106</v>
      </c>
      <c r="AT128" s="21" t="n">
        <f aca="false">SUM(AT122:AT127)</f>
        <v>265</v>
      </c>
      <c r="AU128" s="21" t="n">
        <f aca="false">SUM(AU122:AU127)</f>
        <v>207</v>
      </c>
      <c r="AV128" s="21" t="n">
        <f aca="false">SUM(AV122:AV127)</f>
        <v>0</v>
      </c>
      <c r="AW128" s="21" t="n">
        <f aca="false">SUM(AW122:AW127)</f>
        <v>0</v>
      </c>
      <c r="AX128" s="21" t="n">
        <f aca="false">SUM(AX122:AX127)</f>
        <v>27</v>
      </c>
      <c r="AY128" s="67" t="n">
        <f aca="false">SUM(AY122:AY127)</f>
        <v>0</v>
      </c>
    </row>
    <row r="129" customFormat="false" ht="15.75" hidden="false" customHeight="false" outlineLevel="0" collapsed="false">
      <c r="AS129" s="54"/>
      <c r="AT129" s="55" t="s">
        <v>104</v>
      </c>
      <c r="AU129" s="55"/>
      <c r="AV129" s="55"/>
    </row>
    <row r="130" customFormat="false" ht="15.75" hidden="false" customHeight="false" outlineLevel="0" collapsed="false">
      <c r="C130" s="55"/>
      <c r="D130" s="55"/>
      <c r="E130" s="55"/>
      <c r="F130" s="55"/>
      <c r="G130" s="55"/>
      <c r="H130" s="55"/>
      <c r="I130" s="55"/>
      <c r="AS130" s="54"/>
    </row>
    <row r="131" customFormat="false" ht="15.75" hidden="false" customHeight="false" outlineLevel="0" collapsed="false">
      <c r="C131" s="55"/>
      <c r="D131" s="55"/>
      <c r="E131" s="55"/>
      <c r="F131" s="55"/>
      <c r="G131" s="55"/>
      <c r="H131" s="55"/>
      <c r="I131" s="55"/>
      <c r="AS131" s="54"/>
    </row>
    <row r="132" customFormat="false" ht="15.75" hidden="false" customHeight="false" outlineLevel="0" collapsed="false">
      <c r="AS132" s="54"/>
    </row>
    <row r="133" customFormat="false" ht="15.75" hidden="false" customHeight="false" outlineLevel="0" collapsed="false">
      <c r="A133" s="2" t="s">
        <v>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customFormat="false" ht="15.75" hidden="false" customHeight="false" outlineLevel="0" collapsed="false">
      <c r="A135" s="3" t="s">
        <v>67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customFormat="false" ht="15.75" hidden="false" customHeight="false" outlineLevel="0" collapsed="false">
      <c r="A136" s="3" t="s">
        <v>3</v>
      </c>
      <c r="B136" s="4" t="s">
        <v>68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customFormat="false" ht="15.75" hidden="false" customHeight="false" outlineLevel="0" collapsed="false">
      <c r="A137" s="3" t="s">
        <v>109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customFormat="false" ht="15.75" hidden="false" customHeight="false" outlineLevel="0" collapsed="false">
      <c r="A138" s="4"/>
      <c r="B138" s="4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customFormat="false" ht="22.5" hidden="false" customHeight="true" outlineLevel="0" collapsed="false">
      <c r="A139" s="7" t="s">
        <v>7</v>
      </c>
      <c r="B139" s="8" t="s">
        <v>8</v>
      </c>
      <c r="C139" s="10" t="s">
        <v>14</v>
      </c>
      <c r="D139" s="10"/>
      <c r="E139" s="10"/>
      <c r="F139" s="10"/>
      <c r="G139" s="10"/>
      <c r="H139" s="11"/>
      <c r="I139" s="11"/>
      <c r="J139" s="7" t="s">
        <v>70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8" t="s">
        <v>71</v>
      </c>
      <c r="AM139" s="8"/>
      <c r="AN139" s="8"/>
      <c r="AO139" s="7" t="s">
        <v>72</v>
      </c>
      <c r="AP139" s="7"/>
      <c r="AQ139" s="7"/>
      <c r="AR139" s="7" t="s">
        <v>73</v>
      </c>
      <c r="AS139" s="7"/>
      <c r="AT139" s="7"/>
      <c r="AU139" s="8" t="s">
        <v>74</v>
      </c>
      <c r="AV139" s="8" t="s">
        <v>75</v>
      </c>
      <c r="AW139" s="8" t="s">
        <v>76</v>
      </c>
      <c r="AX139" s="8" t="s">
        <v>77</v>
      </c>
      <c r="AY139" s="59" t="s">
        <v>78</v>
      </c>
    </row>
    <row r="140" customFormat="false" ht="15" hidden="false" customHeight="true" outlineLevel="0" collapsed="false">
      <c r="A140" s="7"/>
      <c r="B140" s="8"/>
      <c r="C140" s="7" t="s">
        <v>22</v>
      </c>
      <c r="D140" s="7"/>
      <c r="E140" s="7" t="s">
        <v>23</v>
      </c>
      <c r="F140" s="7"/>
      <c r="G140" s="7" t="s">
        <v>24</v>
      </c>
      <c r="H140" s="7"/>
      <c r="I140" s="8" t="s">
        <v>25</v>
      </c>
      <c r="J140" s="8" t="s">
        <v>79</v>
      </c>
      <c r="K140" s="8"/>
      <c r="L140" s="7" t="s">
        <v>80</v>
      </c>
      <c r="M140" s="7"/>
      <c r="N140" s="7"/>
      <c r="O140" s="7"/>
      <c r="P140" s="7" t="s">
        <v>81</v>
      </c>
      <c r="Q140" s="7"/>
      <c r="R140" s="7"/>
      <c r="S140" s="7"/>
      <c r="T140" s="8" t="s">
        <v>82</v>
      </c>
      <c r="U140" s="8"/>
      <c r="V140" s="8" t="s">
        <v>83</v>
      </c>
      <c r="W140" s="8"/>
      <c r="X140" s="8" t="s">
        <v>84</v>
      </c>
      <c r="Y140" s="8"/>
      <c r="Z140" s="8" t="s">
        <v>85</v>
      </c>
      <c r="AA140" s="8"/>
      <c r="AB140" s="8" t="s">
        <v>86</v>
      </c>
      <c r="AC140" s="8"/>
      <c r="AD140" s="8" t="s">
        <v>87</v>
      </c>
      <c r="AE140" s="8"/>
      <c r="AF140" s="8" t="s">
        <v>88</v>
      </c>
      <c r="AG140" s="8"/>
      <c r="AH140" s="8" t="s">
        <v>89</v>
      </c>
      <c r="AI140" s="8"/>
      <c r="AJ140" s="8" t="s">
        <v>90</v>
      </c>
      <c r="AK140" s="8"/>
      <c r="AL140" s="8"/>
      <c r="AM140" s="8"/>
      <c r="AN140" s="8"/>
      <c r="AO140" s="7" t="s">
        <v>91</v>
      </c>
      <c r="AP140" s="7" t="s">
        <v>92</v>
      </c>
      <c r="AQ140" s="7" t="s">
        <v>93</v>
      </c>
      <c r="AR140" s="7"/>
      <c r="AS140" s="7"/>
      <c r="AT140" s="7"/>
      <c r="AU140" s="8"/>
      <c r="AV140" s="8"/>
      <c r="AW140" s="8"/>
      <c r="AX140" s="8"/>
      <c r="AY140" s="59"/>
    </row>
    <row r="141" customFormat="false" ht="27" hidden="false" customHeight="true" outlineLevel="0" collapsed="false">
      <c r="A141" s="7"/>
      <c r="B141" s="8"/>
      <c r="C141" s="7" t="s">
        <v>29</v>
      </c>
      <c r="D141" s="7" t="s">
        <v>30</v>
      </c>
      <c r="E141" s="7" t="s">
        <v>29</v>
      </c>
      <c r="F141" s="7" t="s">
        <v>30</v>
      </c>
      <c r="G141" s="7" t="s">
        <v>29</v>
      </c>
      <c r="H141" s="7" t="s">
        <v>30</v>
      </c>
      <c r="I141" s="8"/>
      <c r="J141" s="8"/>
      <c r="K141" s="8"/>
      <c r="L141" s="7" t="s">
        <v>29</v>
      </c>
      <c r="M141" s="7"/>
      <c r="N141" s="7" t="s">
        <v>94</v>
      </c>
      <c r="O141" s="7"/>
      <c r="P141" s="7" t="s">
        <v>95</v>
      </c>
      <c r="Q141" s="7"/>
      <c r="R141" s="7" t="s">
        <v>96</v>
      </c>
      <c r="S141" s="7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7"/>
      <c r="AP141" s="7"/>
      <c r="AQ141" s="7"/>
      <c r="AR141" s="60" t="s">
        <v>97</v>
      </c>
      <c r="AS141" s="60" t="s">
        <v>98</v>
      </c>
      <c r="AT141" s="60" t="s">
        <v>99</v>
      </c>
      <c r="AU141" s="8"/>
      <c r="AV141" s="8"/>
      <c r="AW141" s="8"/>
      <c r="AX141" s="8"/>
      <c r="AY141" s="59"/>
    </row>
    <row r="142" customFormat="false" ht="60.75" hidden="false" customHeight="true" outlineLevel="0" collapsed="false">
      <c r="A142" s="7"/>
      <c r="B142" s="8"/>
      <c r="C142" s="7"/>
      <c r="D142" s="7"/>
      <c r="E142" s="7"/>
      <c r="F142" s="7"/>
      <c r="G142" s="7"/>
      <c r="H142" s="7"/>
      <c r="I142" s="8"/>
      <c r="J142" s="8" t="s">
        <v>29</v>
      </c>
      <c r="K142" s="8" t="s">
        <v>30</v>
      </c>
      <c r="L142" s="8" t="s">
        <v>29</v>
      </c>
      <c r="M142" s="8" t="s">
        <v>30</v>
      </c>
      <c r="N142" s="8" t="s">
        <v>29</v>
      </c>
      <c r="O142" s="8" t="s">
        <v>30</v>
      </c>
      <c r="P142" s="8" t="s">
        <v>29</v>
      </c>
      <c r="Q142" s="8" t="s">
        <v>30</v>
      </c>
      <c r="R142" s="8" t="s">
        <v>29</v>
      </c>
      <c r="S142" s="8" t="s">
        <v>30</v>
      </c>
      <c r="T142" s="8" t="s">
        <v>29</v>
      </c>
      <c r="U142" s="8" t="s">
        <v>30</v>
      </c>
      <c r="V142" s="8" t="s">
        <v>29</v>
      </c>
      <c r="W142" s="8" t="s">
        <v>30</v>
      </c>
      <c r="X142" s="8" t="s">
        <v>29</v>
      </c>
      <c r="Y142" s="8" t="s">
        <v>30</v>
      </c>
      <c r="Z142" s="8" t="s">
        <v>29</v>
      </c>
      <c r="AA142" s="8" t="s">
        <v>30</v>
      </c>
      <c r="AB142" s="8" t="s">
        <v>29</v>
      </c>
      <c r="AC142" s="8" t="s">
        <v>30</v>
      </c>
      <c r="AD142" s="8" t="s">
        <v>29</v>
      </c>
      <c r="AE142" s="8" t="s">
        <v>30</v>
      </c>
      <c r="AF142" s="8" t="s">
        <v>29</v>
      </c>
      <c r="AG142" s="8" t="s">
        <v>30</v>
      </c>
      <c r="AH142" s="8" t="s">
        <v>29</v>
      </c>
      <c r="AI142" s="8" t="s">
        <v>30</v>
      </c>
      <c r="AJ142" s="8" t="s">
        <v>29</v>
      </c>
      <c r="AK142" s="8" t="s">
        <v>30</v>
      </c>
      <c r="AL142" s="8" t="s">
        <v>29</v>
      </c>
      <c r="AM142" s="8" t="s">
        <v>30</v>
      </c>
      <c r="AN142" s="8" t="s">
        <v>31</v>
      </c>
      <c r="AO142" s="7"/>
      <c r="AP142" s="7"/>
      <c r="AQ142" s="7"/>
      <c r="AR142" s="60"/>
      <c r="AS142" s="60"/>
      <c r="AT142" s="60"/>
      <c r="AU142" s="8"/>
      <c r="AV142" s="8"/>
      <c r="AW142" s="8"/>
      <c r="AX142" s="8"/>
      <c r="AY142" s="59"/>
    </row>
    <row r="143" customFormat="false" ht="13.5" hidden="false" customHeight="true" outlineLevel="0" collapsed="false">
      <c r="A143" s="22" t="n">
        <v>1</v>
      </c>
      <c r="B143" s="23" t="n">
        <v>2</v>
      </c>
      <c r="C143" s="24" t="n">
        <v>3</v>
      </c>
      <c r="D143" s="24"/>
      <c r="E143" s="24"/>
      <c r="F143" s="24"/>
      <c r="G143" s="24"/>
      <c r="H143" s="24"/>
      <c r="I143" s="61" t="n">
        <v>4</v>
      </c>
      <c r="J143" s="24" t="n">
        <v>5</v>
      </c>
      <c r="K143" s="24"/>
      <c r="L143" s="24" t="n">
        <v>6</v>
      </c>
      <c r="M143" s="24"/>
      <c r="N143" s="24"/>
      <c r="O143" s="24"/>
      <c r="P143" s="24" t="n">
        <v>7</v>
      </c>
      <c r="Q143" s="24"/>
      <c r="R143" s="24"/>
      <c r="S143" s="24"/>
      <c r="T143" s="24" t="n">
        <v>8</v>
      </c>
      <c r="U143" s="24"/>
      <c r="V143" s="24" t="n">
        <v>9</v>
      </c>
      <c r="W143" s="24"/>
      <c r="X143" s="24" t="n">
        <f aca="false">+V143+1</f>
        <v>10</v>
      </c>
      <c r="Y143" s="24"/>
      <c r="Z143" s="24" t="n">
        <f aca="false">+X143+1</f>
        <v>11</v>
      </c>
      <c r="AA143" s="24"/>
      <c r="AB143" s="24" t="n">
        <f aca="false">+Z143+1</f>
        <v>12</v>
      </c>
      <c r="AC143" s="24"/>
      <c r="AD143" s="24" t="n">
        <f aca="false">+AB143+1</f>
        <v>13</v>
      </c>
      <c r="AE143" s="24"/>
      <c r="AF143" s="24" t="n">
        <f aca="false">+AD143+1</f>
        <v>14</v>
      </c>
      <c r="AG143" s="24"/>
      <c r="AH143" s="24" t="n">
        <f aca="false">+AF143+1</f>
        <v>15</v>
      </c>
      <c r="AI143" s="24"/>
      <c r="AJ143" s="24" t="n">
        <f aca="false">+AH143+1</f>
        <v>16</v>
      </c>
      <c r="AK143" s="24"/>
      <c r="AL143" s="24" t="n">
        <f aca="false">+AJ143+1</f>
        <v>17</v>
      </c>
      <c r="AM143" s="24"/>
      <c r="AN143" s="24"/>
      <c r="AO143" s="23" t="n">
        <v>18</v>
      </c>
      <c r="AP143" s="23"/>
      <c r="AQ143" s="23"/>
      <c r="AR143" s="62" t="n">
        <v>19</v>
      </c>
      <c r="AS143" s="62"/>
      <c r="AT143" s="62"/>
      <c r="AU143" s="63" t="n">
        <v>20</v>
      </c>
      <c r="AV143" s="24" t="n">
        <v>21</v>
      </c>
      <c r="AW143" s="24" t="n">
        <v>22</v>
      </c>
      <c r="AX143" s="24" t="n">
        <v>23</v>
      </c>
      <c r="AY143" s="23" t="n">
        <v>24</v>
      </c>
      <c r="AZ143" s="64"/>
    </row>
    <row r="144" customFormat="false" ht="32.25" hidden="false" customHeight="true" outlineLevel="0" collapsed="false">
      <c r="A144" s="27" t="n">
        <v>1</v>
      </c>
      <c r="B144" s="69" t="s">
        <v>42</v>
      </c>
      <c r="C144" s="70" t="n">
        <v>443</v>
      </c>
      <c r="D144" s="70" t="n">
        <v>437</v>
      </c>
      <c r="E144" s="71" t="n">
        <v>272</v>
      </c>
      <c r="F144" s="71" t="n">
        <v>276</v>
      </c>
      <c r="G144" s="71" t="n">
        <v>17</v>
      </c>
      <c r="H144" s="71" t="n">
        <v>18</v>
      </c>
      <c r="I144" s="31" t="n">
        <f aca="false">E144+F144+G144+H144</f>
        <v>583</v>
      </c>
      <c r="J144" s="10"/>
      <c r="K144" s="10"/>
      <c r="L144" s="10"/>
      <c r="M144" s="10"/>
      <c r="N144" s="10"/>
      <c r="O144" s="10"/>
      <c r="P144" s="10" t="n">
        <v>11</v>
      </c>
      <c r="Q144" s="10" t="n">
        <v>11</v>
      </c>
      <c r="R144" s="10"/>
      <c r="S144" s="10"/>
      <c r="T144" s="10"/>
      <c r="U144" s="10"/>
      <c r="V144" s="10"/>
      <c r="W144" s="10"/>
      <c r="X144" s="10" t="n">
        <v>4</v>
      </c>
      <c r="Y144" s="10" t="n">
        <v>6</v>
      </c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21" t="n">
        <f aca="false">J144+L144+N144+P144+R144+T144+V144+X144+Z144+AB144+AD144+AF144+AH144+AJ144</f>
        <v>15</v>
      </c>
      <c r="AM144" s="21" t="n">
        <f aca="false">J144+L144+N144+P144+R144+T144+V144+X144+Z144+AB144+AD144+AF144+AH144+AJ144</f>
        <v>15</v>
      </c>
      <c r="AN144" s="21" t="n">
        <f aca="false">AL144+AM144</f>
        <v>30</v>
      </c>
      <c r="AO144" s="10" t="n">
        <v>370</v>
      </c>
      <c r="AP144" s="10"/>
      <c r="AQ144" s="10"/>
      <c r="AR144" s="65" t="n">
        <v>168</v>
      </c>
      <c r="AS144" s="65" t="n">
        <v>202</v>
      </c>
      <c r="AT144" s="65" t="n">
        <v>370</v>
      </c>
      <c r="AU144" s="10" t="n">
        <v>370</v>
      </c>
      <c r="AV144" s="10"/>
      <c r="AW144" s="10"/>
      <c r="AX144" s="10"/>
      <c r="AY144" s="66"/>
      <c r="AZ144" s="41"/>
    </row>
    <row r="145" customFormat="false" ht="32.25" hidden="false" customHeight="true" outlineLevel="0" collapsed="false">
      <c r="A145" s="27" t="n">
        <v>2</v>
      </c>
      <c r="B145" s="69" t="s">
        <v>43</v>
      </c>
      <c r="C145" s="70" t="n">
        <v>255</v>
      </c>
      <c r="D145" s="70" t="n">
        <v>252</v>
      </c>
      <c r="E145" s="71" t="n">
        <v>163</v>
      </c>
      <c r="F145" s="71" t="n">
        <v>169</v>
      </c>
      <c r="G145" s="71" t="n">
        <v>64</v>
      </c>
      <c r="H145" s="71" t="n">
        <v>63</v>
      </c>
      <c r="I145" s="31" t="n">
        <f aca="false">E145+F145+G145+H145</f>
        <v>459</v>
      </c>
      <c r="J145" s="10"/>
      <c r="K145" s="10"/>
      <c r="L145" s="10"/>
      <c r="M145" s="10"/>
      <c r="N145" s="10"/>
      <c r="O145" s="10"/>
      <c r="P145" s="10" t="n">
        <v>1</v>
      </c>
      <c r="Q145" s="10" t="n">
        <v>3</v>
      </c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21" t="n">
        <f aca="false">J145+L145+N145+P145+R145+T145+V145+X145+Z145+AB145+AD145+AF145+AH145+AJ145</f>
        <v>1</v>
      </c>
      <c r="AM145" s="21" t="n">
        <f aca="false">J145+L145+N145+P145+R145+T145+V145+X145+Z145+AB145+AD145+AF145+AH145+AJ145</f>
        <v>1</v>
      </c>
      <c r="AN145" s="21" t="n">
        <f aca="false">AL145+AM145</f>
        <v>2</v>
      </c>
      <c r="AO145" s="10" t="n">
        <v>28</v>
      </c>
      <c r="AP145" s="10"/>
      <c r="AQ145" s="10" t="n">
        <v>2</v>
      </c>
      <c r="AR145" s="10" t="n">
        <v>28</v>
      </c>
      <c r="AS145" s="10"/>
      <c r="AT145" s="10" t="n">
        <v>28</v>
      </c>
      <c r="AU145" s="10"/>
      <c r="AV145" s="10"/>
      <c r="AW145" s="10"/>
      <c r="AX145" s="10"/>
      <c r="AY145" s="66"/>
      <c r="AZ145" s="41"/>
    </row>
    <row r="146" customFormat="false" ht="32.25" hidden="false" customHeight="true" outlineLevel="0" collapsed="false">
      <c r="A146" s="27" t="n">
        <v>3</v>
      </c>
      <c r="B146" s="69" t="s">
        <v>100</v>
      </c>
      <c r="C146" s="70" t="n">
        <v>315</v>
      </c>
      <c r="D146" s="70" t="n">
        <v>312</v>
      </c>
      <c r="E146" s="71" t="n">
        <v>198</v>
      </c>
      <c r="F146" s="71" t="n">
        <v>202</v>
      </c>
      <c r="G146" s="71" t="n">
        <v>52</v>
      </c>
      <c r="H146" s="71" t="n">
        <v>55</v>
      </c>
      <c r="I146" s="31" t="n">
        <f aca="false">E146+F146+G146+H146</f>
        <v>507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21" t="n">
        <f aca="false">J146+L146+N146+P146+R146+T146+V146+X146+Z146+AB146+AD146+AF146+AH146+AJ146</f>
        <v>0</v>
      </c>
      <c r="AM146" s="21" t="n">
        <f aca="false">J146+L146+N146+P146+R146+T146+V146+X146+Z146+AB146+AD146+AF146+AH146+AJ146</f>
        <v>0</v>
      </c>
      <c r="AN146" s="21" t="n">
        <f aca="false">AL146+AM146</f>
        <v>0</v>
      </c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59"/>
      <c r="AZ146" s="41"/>
    </row>
    <row r="147" customFormat="false" ht="32.25" hidden="false" customHeight="true" outlineLevel="0" collapsed="false">
      <c r="A147" s="27" t="n">
        <v>4</v>
      </c>
      <c r="B147" s="69" t="s">
        <v>101</v>
      </c>
      <c r="C147" s="70" t="n">
        <v>201</v>
      </c>
      <c r="D147" s="70" t="n">
        <v>199</v>
      </c>
      <c r="E147" s="71" t="n">
        <v>121</v>
      </c>
      <c r="F147" s="71" t="n">
        <v>125</v>
      </c>
      <c r="G147" s="71" t="n">
        <v>26</v>
      </c>
      <c r="H147" s="71" t="n">
        <v>33</v>
      </c>
      <c r="I147" s="31" t="n">
        <f aca="false">E147+F147+G147+H147</f>
        <v>305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21" t="n">
        <f aca="false">J147+L147+N147+P147+R147+T147+V147+X147+Z147+AB147+AD147+AF147+AH147+AJ147</f>
        <v>0</v>
      </c>
      <c r="AM147" s="21" t="n">
        <f aca="false">J147+L147+N147+P147+R147+T147+V147+X147+Z147+AB147+AD147+AF147+AH147+AJ147</f>
        <v>0</v>
      </c>
      <c r="AN147" s="21" t="n">
        <f aca="false">AL147+AM147</f>
        <v>0</v>
      </c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66"/>
      <c r="AZ147" s="41"/>
    </row>
    <row r="148" customFormat="false" ht="32.25" hidden="false" customHeight="true" outlineLevel="0" collapsed="false">
      <c r="A148" s="27" t="n">
        <v>5</v>
      </c>
      <c r="B148" s="69" t="s">
        <v>102</v>
      </c>
      <c r="C148" s="70" t="n">
        <v>238</v>
      </c>
      <c r="D148" s="70" t="n">
        <v>239</v>
      </c>
      <c r="E148" s="71" t="n">
        <v>95</v>
      </c>
      <c r="F148" s="71" t="n">
        <v>114</v>
      </c>
      <c r="G148" s="71" t="n">
        <v>55</v>
      </c>
      <c r="H148" s="71" t="n">
        <v>67</v>
      </c>
      <c r="I148" s="31" t="n">
        <f aca="false">SUM(E148:H148)</f>
        <v>331</v>
      </c>
      <c r="J148" s="10"/>
      <c r="K148" s="10"/>
      <c r="L148" s="10"/>
      <c r="M148" s="10"/>
      <c r="N148" s="10"/>
      <c r="O148" s="10"/>
      <c r="P148" s="10" t="n">
        <v>1</v>
      </c>
      <c r="Q148" s="10" t="n">
        <v>1</v>
      </c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21" t="n">
        <f aca="false">J148+L148+N148+P148+R148+T148+V148+X148+Z148+AB148+AD148+AF148+AH148+AJ148</f>
        <v>1</v>
      </c>
      <c r="AM148" s="21" t="n">
        <f aca="false">J148+L148+N148+P148+R148+T148+V148+X148+Z148+AB148+AD148+AF148+AH148+AJ148</f>
        <v>1</v>
      </c>
      <c r="AN148" s="21" t="n">
        <f aca="false">AL148+AM148</f>
        <v>2</v>
      </c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66"/>
      <c r="AZ148" s="41"/>
    </row>
    <row r="149" customFormat="false" ht="36.75" hidden="false" customHeight="true" outlineLevel="0" collapsed="false">
      <c r="A149" s="27" t="n">
        <v>6</v>
      </c>
      <c r="B149" s="69" t="s">
        <v>47</v>
      </c>
      <c r="C149" s="70" t="n">
        <v>199</v>
      </c>
      <c r="D149" s="70" t="n">
        <v>197</v>
      </c>
      <c r="E149" s="71" t="n">
        <v>125</v>
      </c>
      <c r="F149" s="71" t="n">
        <v>126</v>
      </c>
      <c r="G149" s="71" t="n">
        <v>23</v>
      </c>
      <c r="H149" s="71" t="n">
        <v>29</v>
      </c>
      <c r="I149" s="31" t="n">
        <f aca="false">E149+F149+G149+H149</f>
        <v>303</v>
      </c>
      <c r="J149" s="10"/>
      <c r="K149" s="10"/>
      <c r="L149" s="10"/>
      <c r="M149" s="10"/>
      <c r="N149" s="10"/>
      <c r="O149" s="10"/>
      <c r="P149" s="10" t="n">
        <v>2</v>
      </c>
      <c r="Q149" s="10" t="n">
        <v>4</v>
      </c>
      <c r="R149" s="10"/>
      <c r="S149" s="10"/>
      <c r="T149" s="10"/>
      <c r="U149" s="10"/>
      <c r="V149" s="10"/>
      <c r="W149" s="10"/>
      <c r="X149" s="10"/>
      <c r="Y149" s="10" t="n">
        <v>1</v>
      </c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21" t="n">
        <f aca="false">J149+L149+N149+P149+R149+T149+V149+X149+Z149+AB149+AD149+AF149+AH149+AJ149</f>
        <v>2</v>
      </c>
      <c r="AM149" s="21" t="n">
        <f aca="false">J149+L149+N149+P149+R149+T149+V149+X149+Z149+AB149+AD149+AF149+AH149+AJ149</f>
        <v>2</v>
      </c>
      <c r="AN149" s="21" t="n">
        <f aca="false">AL149+AM149</f>
        <v>4</v>
      </c>
      <c r="AO149" s="10"/>
      <c r="AP149" s="10"/>
      <c r="AQ149" s="10"/>
      <c r="AR149" s="10" t="n">
        <v>6</v>
      </c>
      <c r="AS149" s="10" t="n">
        <v>36</v>
      </c>
      <c r="AT149" s="10" t="n">
        <v>42</v>
      </c>
      <c r="AU149" s="10" t="n">
        <v>42</v>
      </c>
      <c r="AV149" s="10"/>
      <c r="AW149" s="10"/>
      <c r="AX149" s="10"/>
      <c r="AY149" s="66"/>
      <c r="AZ149" s="46"/>
    </row>
    <row r="150" customFormat="false" ht="15.75" hidden="false" customHeight="false" outlineLevel="0" collapsed="false">
      <c r="A150" s="15" t="s">
        <v>48</v>
      </c>
      <c r="B150" s="15"/>
      <c r="C150" s="31" t="n">
        <f aca="false">SUM(C144:C149)</f>
        <v>1651</v>
      </c>
      <c r="D150" s="31" t="n">
        <f aca="false">SUM(D144:D149)</f>
        <v>1636</v>
      </c>
      <c r="E150" s="31" t="n">
        <f aca="false">SUM(E144:E149)</f>
        <v>974</v>
      </c>
      <c r="F150" s="31" t="n">
        <f aca="false">SUM(F144:F149)</f>
        <v>1012</v>
      </c>
      <c r="G150" s="31" t="n">
        <f aca="false">SUM(G144:G149)</f>
        <v>237</v>
      </c>
      <c r="H150" s="31" t="n">
        <f aca="false">SUM(H144:H149)</f>
        <v>265</v>
      </c>
      <c r="I150" s="31" t="n">
        <f aca="false">SUM(I144:I149)</f>
        <v>2488</v>
      </c>
      <c r="J150" s="21" t="n">
        <f aca="false">SUM(J144:J149)</f>
        <v>0</v>
      </c>
      <c r="K150" s="21" t="n">
        <f aca="false">SUM(K144:K149)</f>
        <v>0</v>
      </c>
      <c r="L150" s="21" t="n">
        <f aca="false">SUM(L144:L149)</f>
        <v>0</v>
      </c>
      <c r="M150" s="21" t="n">
        <f aca="false">SUM(M144:M149)</f>
        <v>0</v>
      </c>
      <c r="N150" s="21" t="n">
        <f aca="false">SUM(N144:N149)</f>
        <v>0</v>
      </c>
      <c r="O150" s="21" t="n">
        <f aca="false">SUM(O144:O149)</f>
        <v>0</v>
      </c>
      <c r="P150" s="21" t="n">
        <f aca="false">SUM(P144:P149)</f>
        <v>15</v>
      </c>
      <c r="Q150" s="21" t="n">
        <f aca="false">SUM(Q144:Q149)</f>
        <v>19</v>
      </c>
      <c r="R150" s="21" t="n">
        <f aca="false">SUM(R144:R149)</f>
        <v>0</v>
      </c>
      <c r="S150" s="21" t="n">
        <f aca="false">SUM(S144:S149)</f>
        <v>0</v>
      </c>
      <c r="T150" s="21" t="n">
        <f aca="false">SUM(T144:T149)</f>
        <v>0</v>
      </c>
      <c r="U150" s="21" t="n">
        <f aca="false">SUM(U144:U149)</f>
        <v>0</v>
      </c>
      <c r="V150" s="21" t="n">
        <f aca="false">SUM(V144:V149)</f>
        <v>0</v>
      </c>
      <c r="W150" s="21" t="n">
        <f aca="false">SUM(W144:W149)</f>
        <v>0</v>
      </c>
      <c r="X150" s="21" t="n">
        <f aca="false">SUM(X144:X149)</f>
        <v>4</v>
      </c>
      <c r="Y150" s="21" t="n">
        <f aca="false">SUM(Y144:Y149)</f>
        <v>7</v>
      </c>
      <c r="Z150" s="21" t="n">
        <f aca="false">SUM(Z144:Z149)</f>
        <v>0</v>
      </c>
      <c r="AA150" s="21" t="n">
        <f aca="false">SUM(AA144:AA149)</f>
        <v>0</v>
      </c>
      <c r="AB150" s="21" t="n">
        <f aca="false">SUM(AB144:AB149)</f>
        <v>0</v>
      </c>
      <c r="AC150" s="21" t="n">
        <f aca="false">SUM(AC144:AC149)</f>
        <v>0</v>
      </c>
      <c r="AD150" s="21" t="n">
        <f aca="false">SUM(AD144:AD149)</f>
        <v>0</v>
      </c>
      <c r="AE150" s="21" t="n">
        <f aca="false">SUM(AE144:AE149)</f>
        <v>0</v>
      </c>
      <c r="AF150" s="21" t="n">
        <f aca="false">SUM(AF144:AF149)</f>
        <v>0</v>
      </c>
      <c r="AG150" s="21" t="n">
        <f aca="false">SUM(AG144:AG149)</f>
        <v>0</v>
      </c>
      <c r="AH150" s="21" t="n">
        <f aca="false">SUM(AH144:AH149)</f>
        <v>0</v>
      </c>
      <c r="AI150" s="21" t="n">
        <f aca="false">SUM(AI144:AI149)</f>
        <v>0</v>
      </c>
      <c r="AJ150" s="21" t="n">
        <f aca="false">SUM(AJ144:AJ149)</f>
        <v>0</v>
      </c>
      <c r="AK150" s="21" t="n">
        <f aca="false">SUM(AK144:AK149)</f>
        <v>0</v>
      </c>
      <c r="AL150" s="21" t="n">
        <f aca="false">SUM(AL144:AL149)</f>
        <v>19</v>
      </c>
      <c r="AM150" s="21" t="n">
        <f aca="false">SUM(AM144:AM149)</f>
        <v>19</v>
      </c>
      <c r="AN150" s="21" t="n">
        <f aca="false">SUM(AN144:AN149)</f>
        <v>38</v>
      </c>
      <c r="AO150" s="21" t="n">
        <f aca="false">SUM(AO144:AO149)</f>
        <v>398</v>
      </c>
      <c r="AP150" s="21" t="n">
        <f aca="false">SUM(AP144:AP149)</f>
        <v>0</v>
      </c>
      <c r="AQ150" s="21" t="n">
        <f aca="false">SUM(AQ144:AQ149)</f>
        <v>2</v>
      </c>
      <c r="AR150" s="21" t="n">
        <f aca="false">SUM(AR144:AR149)</f>
        <v>202</v>
      </c>
      <c r="AS150" s="21" t="n">
        <f aca="false">SUM(AS144:AS149)</f>
        <v>238</v>
      </c>
      <c r="AT150" s="21" t="n">
        <f aca="false">SUM(AT144:AT149)</f>
        <v>440</v>
      </c>
      <c r="AU150" s="21" t="n">
        <f aca="false">SUM(AU144:AU149)</f>
        <v>412</v>
      </c>
      <c r="AV150" s="21" t="n">
        <f aca="false">SUM(AV144:AV149)</f>
        <v>0</v>
      </c>
      <c r="AW150" s="21" t="n">
        <f aca="false">SUM(AW144:AW149)</f>
        <v>0</v>
      </c>
      <c r="AX150" s="21" t="n">
        <f aca="false">SUM(AX144:AX149)</f>
        <v>0</v>
      </c>
      <c r="AY150" s="67" t="n">
        <f aca="false">SUM(AY144:AY149)</f>
        <v>0</v>
      </c>
    </row>
    <row r="151" customFormat="false" ht="15.75" hidden="false" customHeight="false" outlineLevel="0" collapsed="false">
      <c r="AS151" s="54"/>
      <c r="AT151" s="55" t="s">
        <v>104</v>
      </c>
      <c r="AU151" s="55"/>
      <c r="AV151" s="55"/>
    </row>
    <row r="152" customFormat="false" ht="15.75" hidden="false" customHeight="false" outlineLevel="0" collapsed="false">
      <c r="C152" s="55"/>
      <c r="D152" s="55"/>
      <c r="E152" s="55"/>
      <c r="F152" s="55"/>
      <c r="G152" s="55"/>
      <c r="H152" s="55"/>
      <c r="I152" s="55"/>
      <c r="AS152" s="54"/>
    </row>
    <row r="153" customFormat="false" ht="15.75" hidden="false" customHeight="false" outlineLevel="0" collapsed="false">
      <c r="C153" s="55"/>
      <c r="D153" s="55"/>
      <c r="E153" s="55"/>
      <c r="F153" s="55"/>
      <c r="G153" s="55"/>
      <c r="H153" s="55"/>
      <c r="I153" s="55"/>
      <c r="AS153" s="54"/>
    </row>
    <row r="154" customFormat="false" ht="15.75" hidden="false" customHeight="false" outlineLevel="0" collapsed="false">
      <c r="AS154" s="54"/>
    </row>
    <row r="155" customFormat="false" ht="15.75" hidden="false" customHeight="false" outlineLevel="0" collapsed="false">
      <c r="A155" s="2" t="s">
        <v>0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customFormat="false" ht="15.75" hidden="false" customHeight="false" outlineLevel="0" collapsed="false">
      <c r="A157" s="3" t="s">
        <v>67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</row>
    <row r="158" customFormat="false" ht="15.75" hidden="false" customHeight="false" outlineLevel="0" collapsed="false">
      <c r="A158" s="3" t="s">
        <v>3</v>
      </c>
      <c r="B158" s="4" t="s">
        <v>68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</row>
    <row r="159" customFormat="false" ht="15.75" hidden="false" customHeight="false" outlineLevel="0" collapsed="false">
      <c r="A159" s="3" t="s">
        <v>110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</row>
    <row r="160" customFormat="false" ht="15.75" hidden="false" customHeight="false" outlineLevel="0" collapsed="false">
      <c r="A160" s="4"/>
      <c r="B160" s="4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customFormat="false" ht="22.5" hidden="false" customHeight="true" outlineLevel="0" collapsed="false">
      <c r="A161" s="7" t="s">
        <v>7</v>
      </c>
      <c r="B161" s="8" t="s">
        <v>8</v>
      </c>
      <c r="C161" s="10" t="s">
        <v>14</v>
      </c>
      <c r="D161" s="10"/>
      <c r="E161" s="10"/>
      <c r="F161" s="10"/>
      <c r="G161" s="10"/>
      <c r="H161" s="11"/>
      <c r="I161" s="11"/>
      <c r="J161" s="7" t="s">
        <v>70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8" t="s">
        <v>71</v>
      </c>
      <c r="AM161" s="8"/>
      <c r="AN161" s="8"/>
      <c r="AO161" s="7" t="s">
        <v>72</v>
      </c>
      <c r="AP161" s="7"/>
      <c r="AQ161" s="7"/>
      <c r="AR161" s="7" t="s">
        <v>73</v>
      </c>
      <c r="AS161" s="7"/>
      <c r="AT161" s="7"/>
      <c r="AU161" s="8" t="s">
        <v>74</v>
      </c>
      <c r="AV161" s="8" t="s">
        <v>75</v>
      </c>
      <c r="AW161" s="8" t="s">
        <v>76</v>
      </c>
      <c r="AX161" s="8" t="s">
        <v>77</v>
      </c>
      <c r="AY161" s="59" t="s">
        <v>78</v>
      </c>
    </row>
    <row r="162" customFormat="false" ht="15" hidden="false" customHeight="true" outlineLevel="0" collapsed="false">
      <c r="A162" s="7"/>
      <c r="B162" s="8"/>
      <c r="C162" s="7" t="s">
        <v>22</v>
      </c>
      <c r="D162" s="7"/>
      <c r="E162" s="7" t="s">
        <v>23</v>
      </c>
      <c r="F162" s="7"/>
      <c r="G162" s="7" t="s">
        <v>24</v>
      </c>
      <c r="H162" s="7"/>
      <c r="I162" s="8" t="s">
        <v>25</v>
      </c>
      <c r="J162" s="8" t="s">
        <v>79</v>
      </c>
      <c r="K162" s="8"/>
      <c r="L162" s="7" t="s">
        <v>80</v>
      </c>
      <c r="M162" s="7"/>
      <c r="N162" s="7"/>
      <c r="O162" s="7"/>
      <c r="P162" s="7" t="s">
        <v>81</v>
      </c>
      <c r="Q162" s="7"/>
      <c r="R162" s="7"/>
      <c r="S162" s="7"/>
      <c r="T162" s="8" t="s">
        <v>82</v>
      </c>
      <c r="U162" s="8"/>
      <c r="V162" s="8" t="s">
        <v>83</v>
      </c>
      <c r="W162" s="8"/>
      <c r="X162" s="8" t="s">
        <v>84</v>
      </c>
      <c r="Y162" s="8"/>
      <c r="Z162" s="8" t="s">
        <v>85</v>
      </c>
      <c r="AA162" s="8"/>
      <c r="AB162" s="8" t="s">
        <v>86</v>
      </c>
      <c r="AC162" s="8"/>
      <c r="AD162" s="8" t="s">
        <v>87</v>
      </c>
      <c r="AE162" s="8"/>
      <c r="AF162" s="8" t="s">
        <v>88</v>
      </c>
      <c r="AG162" s="8"/>
      <c r="AH162" s="8" t="s">
        <v>89</v>
      </c>
      <c r="AI162" s="8"/>
      <c r="AJ162" s="8" t="s">
        <v>90</v>
      </c>
      <c r="AK162" s="8"/>
      <c r="AL162" s="8"/>
      <c r="AM162" s="8"/>
      <c r="AN162" s="8"/>
      <c r="AO162" s="7" t="s">
        <v>91</v>
      </c>
      <c r="AP162" s="7" t="s">
        <v>92</v>
      </c>
      <c r="AQ162" s="7" t="s">
        <v>93</v>
      </c>
      <c r="AR162" s="7"/>
      <c r="AS162" s="7"/>
      <c r="AT162" s="7"/>
      <c r="AU162" s="8"/>
      <c r="AV162" s="8"/>
      <c r="AW162" s="8"/>
      <c r="AX162" s="8"/>
      <c r="AY162" s="59"/>
    </row>
    <row r="163" customFormat="false" ht="27" hidden="false" customHeight="true" outlineLevel="0" collapsed="false">
      <c r="A163" s="7"/>
      <c r="B163" s="8"/>
      <c r="C163" s="7" t="s">
        <v>29</v>
      </c>
      <c r="D163" s="7" t="s">
        <v>30</v>
      </c>
      <c r="E163" s="7" t="s">
        <v>29</v>
      </c>
      <c r="F163" s="7" t="s">
        <v>30</v>
      </c>
      <c r="G163" s="7" t="s">
        <v>29</v>
      </c>
      <c r="H163" s="7" t="s">
        <v>30</v>
      </c>
      <c r="I163" s="8"/>
      <c r="J163" s="8"/>
      <c r="K163" s="8"/>
      <c r="L163" s="7" t="s">
        <v>29</v>
      </c>
      <c r="M163" s="7"/>
      <c r="N163" s="7" t="s">
        <v>94</v>
      </c>
      <c r="O163" s="7"/>
      <c r="P163" s="7" t="s">
        <v>95</v>
      </c>
      <c r="Q163" s="7"/>
      <c r="R163" s="7" t="s">
        <v>96</v>
      </c>
      <c r="S163" s="7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7"/>
      <c r="AP163" s="7"/>
      <c r="AQ163" s="7"/>
      <c r="AR163" s="60" t="s">
        <v>97</v>
      </c>
      <c r="AS163" s="60" t="s">
        <v>98</v>
      </c>
      <c r="AT163" s="60" t="s">
        <v>99</v>
      </c>
      <c r="AU163" s="8"/>
      <c r="AV163" s="8"/>
      <c r="AW163" s="8"/>
      <c r="AX163" s="8"/>
      <c r="AY163" s="59"/>
    </row>
    <row r="164" customFormat="false" ht="60.75" hidden="false" customHeight="true" outlineLevel="0" collapsed="false">
      <c r="A164" s="7"/>
      <c r="B164" s="8"/>
      <c r="C164" s="7"/>
      <c r="D164" s="7"/>
      <c r="E164" s="7"/>
      <c r="F164" s="7"/>
      <c r="G164" s="7"/>
      <c r="H164" s="7"/>
      <c r="I164" s="8"/>
      <c r="J164" s="8" t="s">
        <v>29</v>
      </c>
      <c r="K164" s="8" t="s">
        <v>30</v>
      </c>
      <c r="L164" s="8" t="s">
        <v>29</v>
      </c>
      <c r="M164" s="8" t="s">
        <v>30</v>
      </c>
      <c r="N164" s="8" t="s">
        <v>29</v>
      </c>
      <c r="O164" s="8" t="s">
        <v>30</v>
      </c>
      <c r="P164" s="8" t="s">
        <v>29</v>
      </c>
      <c r="Q164" s="8" t="s">
        <v>30</v>
      </c>
      <c r="R164" s="8" t="s">
        <v>29</v>
      </c>
      <c r="S164" s="8" t="s">
        <v>30</v>
      </c>
      <c r="T164" s="8" t="s">
        <v>29</v>
      </c>
      <c r="U164" s="8" t="s">
        <v>30</v>
      </c>
      <c r="V164" s="8" t="s">
        <v>29</v>
      </c>
      <c r="W164" s="8" t="s">
        <v>30</v>
      </c>
      <c r="X164" s="8" t="s">
        <v>29</v>
      </c>
      <c r="Y164" s="8" t="s">
        <v>30</v>
      </c>
      <c r="Z164" s="8" t="s">
        <v>29</v>
      </c>
      <c r="AA164" s="8" t="s">
        <v>30</v>
      </c>
      <c r="AB164" s="8" t="s">
        <v>29</v>
      </c>
      <c r="AC164" s="8" t="s">
        <v>30</v>
      </c>
      <c r="AD164" s="8" t="s">
        <v>29</v>
      </c>
      <c r="AE164" s="8" t="s">
        <v>30</v>
      </c>
      <c r="AF164" s="8" t="s">
        <v>29</v>
      </c>
      <c r="AG164" s="8" t="s">
        <v>30</v>
      </c>
      <c r="AH164" s="8" t="s">
        <v>29</v>
      </c>
      <c r="AI164" s="8" t="s">
        <v>30</v>
      </c>
      <c r="AJ164" s="8" t="s">
        <v>29</v>
      </c>
      <c r="AK164" s="8" t="s">
        <v>30</v>
      </c>
      <c r="AL164" s="8" t="s">
        <v>29</v>
      </c>
      <c r="AM164" s="8" t="s">
        <v>30</v>
      </c>
      <c r="AN164" s="8" t="s">
        <v>31</v>
      </c>
      <c r="AO164" s="7"/>
      <c r="AP164" s="7"/>
      <c r="AQ164" s="7"/>
      <c r="AR164" s="60"/>
      <c r="AS164" s="60"/>
      <c r="AT164" s="60"/>
      <c r="AU164" s="8"/>
      <c r="AV164" s="8"/>
      <c r="AW164" s="8"/>
      <c r="AX164" s="8"/>
      <c r="AY164" s="59"/>
    </row>
    <row r="165" customFormat="false" ht="13.5" hidden="false" customHeight="true" outlineLevel="0" collapsed="false">
      <c r="A165" s="22" t="n">
        <v>1</v>
      </c>
      <c r="B165" s="23" t="n">
        <v>2</v>
      </c>
      <c r="C165" s="24" t="n">
        <v>3</v>
      </c>
      <c r="D165" s="24"/>
      <c r="E165" s="24"/>
      <c r="F165" s="24"/>
      <c r="G165" s="24"/>
      <c r="H165" s="24"/>
      <c r="I165" s="61" t="n">
        <v>4</v>
      </c>
      <c r="J165" s="24" t="n">
        <v>5</v>
      </c>
      <c r="K165" s="24"/>
      <c r="L165" s="24" t="n">
        <v>6</v>
      </c>
      <c r="M165" s="24"/>
      <c r="N165" s="24"/>
      <c r="O165" s="24"/>
      <c r="P165" s="24" t="n">
        <v>7</v>
      </c>
      <c r="Q165" s="24"/>
      <c r="R165" s="24"/>
      <c r="S165" s="24"/>
      <c r="T165" s="24" t="n">
        <v>8</v>
      </c>
      <c r="U165" s="24"/>
      <c r="V165" s="24" t="n">
        <v>9</v>
      </c>
      <c r="W165" s="24"/>
      <c r="X165" s="24" t="n">
        <f aca="false">+V165+1</f>
        <v>10</v>
      </c>
      <c r="Y165" s="24"/>
      <c r="Z165" s="24" t="n">
        <f aca="false">+X165+1</f>
        <v>11</v>
      </c>
      <c r="AA165" s="24"/>
      <c r="AB165" s="24" t="n">
        <f aca="false">+Z165+1</f>
        <v>12</v>
      </c>
      <c r="AC165" s="24"/>
      <c r="AD165" s="24" t="n">
        <f aca="false">+AB165+1</f>
        <v>13</v>
      </c>
      <c r="AE165" s="24"/>
      <c r="AF165" s="24" t="n">
        <f aca="false">+AD165+1</f>
        <v>14</v>
      </c>
      <c r="AG165" s="24"/>
      <c r="AH165" s="24" t="n">
        <f aca="false">+AF165+1</f>
        <v>15</v>
      </c>
      <c r="AI165" s="24"/>
      <c r="AJ165" s="24" t="n">
        <f aca="false">+AH165+1</f>
        <v>16</v>
      </c>
      <c r="AK165" s="24"/>
      <c r="AL165" s="24" t="n">
        <f aca="false">+AJ165+1</f>
        <v>17</v>
      </c>
      <c r="AM165" s="24"/>
      <c r="AN165" s="24"/>
      <c r="AO165" s="23" t="n">
        <v>18</v>
      </c>
      <c r="AP165" s="23"/>
      <c r="AQ165" s="23"/>
      <c r="AR165" s="62" t="n">
        <v>19</v>
      </c>
      <c r="AS165" s="62"/>
      <c r="AT165" s="62"/>
      <c r="AU165" s="63" t="n">
        <v>20</v>
      </c>
      <c r="AV165" s="24" t="n">
        <v>21</v>
      </c>
      <c r="AW165" s="24" t="n">
        <v>22</v>
      </c>
      <c r="AX165" s="24" t="n">
        <v>23</v>
      </c>
      <c r="AY165" s="23" t="n">
        <v>24</v>
      </c>
      <c r="AZ165" s="64"/>
    </row>
    <row r="166" customFormat="false" ht="32.25" hidden="false" customHeight="true" outlineLevel="0" collapsed="false">
      <c r="A166" s="27" t="n">
        <v>1</v>
      </c>
      <c r="B166" s="69" t="s">
        <v>42</v>
      </c>
      <c r="C166" s="70" t="n">
        <v>443</v>
      </c>
      <c r="D166" s="70" t="n">
        <v>437</v>
      </c>
      <c r="E166" s="71" t="n">
        <v>272</v>
      </c>
      <c r="F166" s="71" t="n">
        <v>276</v>
      </c>
      <c r="G166" s="71" t="n">
        <v>17</v>
      </c>
      <c r="H166" s="71" t="n">
        <v>18</v>
      </c>
      <c r="I166" s="31" t="n">
        <f aca="false">E166+F166+G166+H166</f>
        <v>583</v>
      </c>
      <c r="J166" s="10"/>
      <c r="K166" s="10"/>
      <c r="L166" s="10"/>
      <c r="M166" s="10"/>
      <c r="N166" s="10"/>
      <c r="O166" s="10"/>
      <c r="P166" s="10" t="n">
        <v>13</v>
      </c>
      <c r="Q166" s="10" t="n">
        <v>13</v>
      </c>
      <c r="R166" s="10"/>
      <c r="S166" s="10"/>
      <c r="T166" s="10"/>
      <c r="U166" s="10"/>
      <c r="V166" s="10"/>
      <c r="W166" s="10"/>
      <c r="X166" s="10" t="n">
        <v>5</v>
      </c>
      <c r="Y166" s="10" t="n">
        <v>7</v>
      </c>
      <c r="Z166" s="10"/>
      <c r="AA166" s="10" t="n">
        <v>1</v>
      </c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21" t="n">
        <f aca="false">J166+L166+N166+P166+R166+T166+V166+X166+Z166+AB166+AD166+AF166+AH166+AJ166</f>
        <v>18</v>
      </c>
      <c r="AM166" s="21" t="n">
        <f aca="false">J166+L166+N166+P166+R166+T166+V166+X166+Z166+AB166+AD166+AF166+AH166+AJ166</f>
        <v>18</v>
      </c>
      <c r="AN166" s="21" t="n">
        <f aca="false">AL166+AM166</f>
        <v>36</v>
      </c>
      <c r="AO166" s="10" t="n">
        <v>440</v>
      </c>
      <c r="AP166" s="10"/>
      <c r="AQ166" s="10"/>
      <c r="AR166" s="65" t="n">
        <v>200</v>
      </c>
      <c r="AS166" s="65" t="n">
        <v>240</v>
      </c>
      <c r="AT166" s="65" t="n">
        <v>440</v>
      </c>
      <c r="AU166" s="10" t="n">
        <v>440</v>
      </c>
      <c r="AV166" s="10"/>
      <c r="AW166" s="10"/>
      <c r="AX166" s="10"/>
      <c r="AY166" s="66"/>
      <c r="AZ166" s="41"/>
    </row>
    <row r="167" customFormat="false" ht="32.25" hidden="false" customHeight="true" outlineLevel="0" collapsed="false">
      <c r="A167" s="27" t="n">
        <v>2</v>
      </c>
      <c r="B167" s="69" t="s">
        <v>43</v>
      </c>
      <c r="C167" s="70" t="n">
        <v>255</v>
      </c>
      <c r="D167" s="70" t="n">
        <v>252</v>
      </c>
      <c r="E167" s="71" t="n">
        <v>163</v>
      </c>
      <c r="F167" s="71" t="n">
        <v>169</v>
      </c>
      <c r="G167" s="71" t="n">
        <v>64</v>
      </c>
      <c r="H167" s="71" t="n">
        <v>63</v>
      </c>
      <c r="I167" s="31" t="n">
        <f aca="false">E167+F167+G167+H167</f>
        <v>459</v>
      </c>
      <c r="J167" s="10"/>
      <c r="K167" s="10"/>
      <c r="L167" s="10"/>
      <c r="M167" s="10"/>
      <c r="N167" s="10"/>
      <c r="O167" s="10"/>
      <c r="P167" s="10"/>
      <c r="Q167" s="10" t="n">
        <v>2</v>
      </c>
      <c r="R167" s="10"/>
      <c r="S167" s="10"/>
      <c r="T167" s="10"/>
      <c r="U167" s="10"/>
      <c r="V167" s="10"/>
      <c r="W167" s="10"/>
      <c r="X167" s="10" t="n">
        <v>1</v>
      </c>
      <c r="Y167" s="10" t="n">
        <v>3</v>
      </c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21" t="n">
        <f aca="false">J167+L167+N167+P167+R167+T167+V167+X167+Z167+AB167+AD167+AF167+AH167+AJ167</f>
        <v>1</v>
      </c>
      <c r="AM167" s="21" t="n">
        <f aca="false">J167+L167+N167+P167+R167+T167+V167+X167+Z167+AB167+AD167+AF167+AH167+AJ167</f>
        <v>1</v>
      </c>
      <c r="AN167" s="21" t="n">
        <f aca="false">AL167+AM167</f>
        <v>2</v>
      </c>
      <c r="AO167" s="10" t="n">
        <v>21</v>
      </c>
      <c r="AP167" s="10"/>
      <c r="AQ167" s="10" t="n">
        <v>1</v>
      </c>
      <c r="AR167" s="10" t="n">
        <v>21</v>
      </c>
      <c r="AS167" s="10"/>
      <c r="AT167" s="10" t="n">
        <v>21</v>
      </c>
      <c r="AU167" s="10"/>
      <c r="AV167" s="10"/>
      <c r="AW167" s="10"/>
      <c r="AX167" s="10"/>
      <c r="AY167" s="66"/>
      <c r="AZ167" s="41"/>
    </row>
    <row r="168" customFormat="false" ht="32.25" hidden="false" customHeight="true" outlineLevel="0" collapsed="false">
      <c r="A168" s="27" t="n">
        <v>3</v>
      </c>
      <c r="B168" s="69" t="s">
        <v>100</v>
      </c>
      <c r="C168" s="70" t="n">
        <v>315</v>
      </c>
      <c r="D168" s="70" t="n">
        <v>312</v>
      </c>
      <c r="E168" s="71" t="n">
        <v>198</v>
      </c>
      <c r="F168" s="71" t="n">
        <v>202</v>
      </c>
      <c r="G168" s="71" t="n">
        <v>52</v>
      </c>
      <c r="H168" s="71" t="n">
        <v>55</v>
      </c>
      <c r="I168" s="31" t="n">
        <f aca="false">E168+F168+G168+H168</f>
        <v>507</v>
      </c>
      <c r="J168" s="10"/>
      <c r="K168" s="10"/>
      <c r="L168" s="10"/>
      <c r="M168" s="10"/>
      <c r="N168" s="10"/>
      <c r="O168" s="10"/>
      <c r="P168" s="10" t="n">
        <v>3</v>
      </c>
      <c r="Q168" s="10" t="n">
        <v>8</v>
      </c>
      <c r="R168" s="10"/>
      <c r="S168" s="10"/>
      <c r="T168" s="10"/>
      <c r="U168" s="10"/>
      <c r="V168" s="10"/>
      <c r="W168" s="10"/>
      <c r="X168" s="10"/>
      <c r="Y168" s="10" t="n">
        <v>5</v>
      </c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21" t="n">
        <f aca="false">J168+L168+N168+P168+R168+T168+V168+X168+Z168+AB168+AD168+AF168+AH168+AJ168</f>
        <v>3</v>
      </c>
      <c r="AM168" s="21" t="n">
        <f aca="false">J168+L168+N168+P168+R168+T168+V168+X168+Z168+AB168+AD168+AF168+AH168+AJ168</f>
        <v>3</v>
      </c>
      <c r="AN168" s="21" t="n">
        <f aca="false">AL168+AM168</f>
        <v>6</v>
      </c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59"/>
      <c r="AZ168" s="41"/>
    </row>
    <row r="169" customFormat="false" ht="32.25" hidden="false" customHeight="true" outlineLevel="0" collapsed="false">
      <c r="A169" s="27" t="n">
        <v>4</v>
      </c>
      <c r="B169" s="69" t="s">
        <v>101</v>
      </c>
      <c r="C169" s="70" t="n">
        <v>201</v>
      </c>
      <c r="D169" s="70" t="n">
        <v>199</v>
      </c>
      <c r="E169" s="71" t="n">
        <v>121</v>
      </c>
      <c r="F169" s="71" t="n">
        <v>125</v>
      </c>
      <c r="G169" s="71" t="n">
        <v>26</v>
      </c>
      <c r="H169" s="71" t="n">
        <v>33</v>
      </c>
      <c r="I169" s="31" t="n">
        <f aca="false">E169+F169+G169+H169</f>
        <v>305</v>
      </c>
      <c r="J169" s="10"/>
      <c r="K169" s="10"/>
      <c r="L169" s="10"/>
      <c r="M169" s="10"/>
      <c r="N169" s="10"/>
      <c r="O169" s="10"/>
      <c r="P169" s="10" t="n">
        <v>2</v>
      </c>
      <c r="Q169" s="10" t="n">
        <v>6</v>
      </c>
      <c r="R169" s="10"/>
      <c r="S169" s="10"/>
      <c r="T169" s="10"/>
      <c r="U169" s="10"/>
      <c r="V169" s="10"/>
      <c r="W169" s="10"/>
      <c r="X169" s="10"/>
      <c r="Y169" s="10" t="n">
        <v>2</v>
      </c>
      <c r="Z169" s="10"/>
      <c r="AA169" s="10" t="n">
        <v>2</v>
      </c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21" t="n">
        <f aca="false">J169+L169+N169+P169+R169+T169+V169+X169+Z169+AB169+AD169+AF169+AH169+AJ169</f>
        <v>2</v>
      </c>
      <c r="AM169" s="21" t="n">
        <f aca="false">J169+L169+N169+P169+R169+T169+V169+X169+Z169+AB169+AD169+AF169+AH169+AJ169</f>
        <v>2</v>
      </c>
      <c r="AN169" s="21" t="n">
        <f aca="false">AL169+AM169</f>
        <v>4</v>
      </c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66"/>
      <c r="AZ169" s="41"/>
    </row>
    <row r="170" customFormat="false" ht="32.25" hidden="false" customHeight="true" outlineLevel="0" collapsed="false">
      <c r="A170" s="27" t="n">
        <v>5</v>
      </c>
      <c r="B170" s="69" t="s">
        <v>102</v>
      </c>
      <c r="C170" s="70" t="n">
        <v>238</v>
      </c>
      <c r="D170" s="70" t="n">
        <v>239</v>
      </c>
      <c r="E170" s="71" t="n">
        <v>95</v>
      </c>
      <c r="F170" s="71" t="n">
        <v>114</v>
      </c>
      <c r="G170" s="71" t="n">
        <v>55</v>
      </c>
      <c r="H170" s="71" t="n">
        <v>67</v>
      </c>
      <c r="I170" s="31" t="n">
        <f aca="false">SUM(E170:H170)</f>
        <v>331</v>
      </c>
      <c r="J170" s="10"/>
      <c r="K170" s="10"/>
      <c r="L170" s="10"/>
      <c r="M170" s="10"/>
      <c r="N170" s="10"/>
      <c r="O170" s="10"/>
      <c r="P170" s="10" t="n">
        <v>2</v>
      </c>
      <c r="Q170" s="10" t="n">
        <v>3</v>
      </c>
      <c r="R170" s="10"/>
      <c r="S170" s="10"/>
      <c r="T170" s="10"/>
      <c r="U170" s="10"/>
      <c r="V170" s="10"/>
      <c r="W170" s="10"/>
      <c r="X170" s="10"/>
      <c r="Y170" s="10" t="n">
        <v>2</v>
      </c>
      <c r="Z170" s="10"/>
      <c r="AA170" s="10" t="n">
        <v>1</v>
      </c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21" t="n">
        <f aca="false">J170+L170+N170+P170+R170+T170+V170+X170+Z170+AB170+AD170+AF170+AH170+AJ170</f>
        <v>2</v>
      </c>
      <c r="AM170" s="21" t="n">
        <f aca="false">J170+L170+N170+P170+R170+T170+V170+X170+Z170+AB170+AD170+AF170+AH170+AJ170</f>
        <v>2</v>
      </c>
      <c r="AN170" s="21" t="n">
        <f aca="false">AL170+AM170</f>
        <v>4</v>
      </c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66"/>
      <c r="AZ170" s="41"/>
    </row>
    <row r="171" customFormat="false" ht="36.75" hidden="false" customHeight="true" outlineLevel="0" collapsed="false">
      <c r="A171" s="27" t="n">
        <v>6</v>
      </c>
      <c r="B171" s="69" t="s">
        <v>47</v>
      </c>
      <c r="C171" s="70" t="n">
        <v>199</v>
      </c>
      <c r="D171" s="70" t="n">
        <v>197</v>
      </c>
      <c r="E171" s="71" t="n">
        <v>125</v>
      </c>
      <c r="F171" s="71" t="n">
        <v>126</v>
      </c>
      <c r="G171" s="71" t="n">
        <v>23</v>
      </c>
      <c r="H171" s="71" t="n">
        <v>29</v>
      </c>
      <c r="I171" s="31" t="n">
        <f aca="false">E171+F171+G171+H171</f>
        <v>303</v>
      </c>
      <c r="J171" s="10"/>
      <c r="K171" s="10"/>
      <c r="L171" s="10"/>
      <c r="M171" s="10"/>
      <c r="N171" s="10"/>
      <c r="O171" s="10"/>
      <c r="P171" s="10" t="n">
        <v>3</v>
      </c>
      <c r="Q171" s="10" t="n">
        <v>8</v>
      </c>
      <c r="R171" s="10"/>
      <c r="S171" s="10"/>
      <c r="T171" s="10"/>
      <c r="U171" s="10"/>
      <c r="V171" s="10"/>
      <c r="W171" s="10"/>
      <c r="X171" s="10"/>
      <c r="Y171" s="10" t="n">
        <v>3</v>
      </c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21" t="n">
        <f aca="false">J171+L171+N171+P171+R171+T171+V171+X171+Z171+AB171+AD171+AF171+AH171+AJ171</f>
        <v>3</v>
      </c>
      <c r="AM171" s="21" t="n">
        <f aca="false">J171+L171+N171+P171+R171+T171+V171+X171+Z171+AB171+AD171+AF171+AH171+AJ171</f>
        <v>3</v>
      </c>
      <c r="AN171" s="21" t="n">
        <f aca="false">AL171+AM171</f>
        <v>6</v>
      </c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66"/>
      <c r="AZ171" s="46"/>
    </row>
    <row r="172" customFormat="false" ht="15.75" hidden="false" customHeight="false" outlineLevel="0" collapsed="false">
      <c r="A172" s="15" t="s">
        <v>48</v>
      </c>
      <c r="B172" s="15"/>
      <c r="C172" s="31" t="n">
        <f aca="false">SUM(C166:C171)</f>
        <v>1651</v>
      </c>
      <c r="D172" s="31" t="n">
        <f aca="false">SUM(D166:D171)</f>
        <v>1636</v>
      </c>
      <c r="E172" s="31" t="n">
        <f aca="false">SUM(E166:E171)</f>
        <v>974</v>
      </c>
      <c r="F172" s="31" t="n">
        <f aca="false">SUM(F166:F171)</f>
        <v>1012</v>
      </c>
      <c r="G172" s="31" t="n">
        <f aca="false">SUM(G166:G171)</f>
        <v>237</v>
      </c>
      <c r="H172" s="31" t="n">
        <f aca="false">SUM(H166:H171)</f>
        <v>265</v>
      </c>
      <c r="I172" s="31" t="n">
        <f aca="false">SUM(I166:I171)</f>
        <v>2488</v>
      </c>
      <c r="J172" s="21" t="n">
        <f aca="false">SUM(J166:J171)</f>
        <v>0</v>
      </c>
      <c r="K172" s="21" t="n">
        <f aca="false">SUM(K166:K171)</f>
        <v>0</v>
      </c>
      <c r="L172" s="21" t="n">
        <f aca="false">SUM(L166:L171)</f>
        <v>0</v>
      </c>
      <c r="M172" s="21" t="n">
        <f aca="false">SUM(M166:M171)</f>
        <v>0</v>
      </c>
      <c r="N172" s="21" t="n">
        <f aca="false">SUM(N166:N171)</f>
        <v>0</v>
      </c>
      <c r="O172" s="21" t="n">
        <f aca="false">SUM(O166:O171)</f>
        <v>0</v>
      </c>
      <c r="P172" s="21" t="n">
        <f aca="false">SUM(P166:P171)</f>
        <v>23</v>
      </c>
      <c r="Q172" s="21" t="n">
        <f aca="false">SUM(Q166:Q171)</f>
        <v>40</v>
      </c>
      <c r="R172" s="21" t="n">
        <f aca="false">SUM(R166:R171)</f>
        <v>0</v>
      </c>
      <c r="S172" s="21" t="n">
        <f aca="false">SUM(S166:S171)</f>
        <v>0</v>
      </c>
      <c r="T172" s="21" t="n">
        <f aca="false">SUM(T166:T171)</f>
        <v>0</v>
      </c>
      <c r="U172" s="21" t="n">
        <f aca="false">SUM(U166:U171)</f>
        <v>0</v>
      </c>
      <c r="V172" s="21" t="n">
        <f aca="false">SUM(V166:V171)</f>
        <v>0</v>
      </c>
      <c r="W172" s="21" t="n">
        <f aca="false">SUM(W166:W171)</f>
        <v>0</v>
      </c>
      <c r="X172" s="21" t="n">
        <f aca="false">SUM(X166:X171)</f>
        <v>6</v>
      </c>
      <c r="Y172" s="21" t="n">
        <f aca="false">SUM(Y166:Y171)</f>
        <v>22</v>
      </c>
      <c r="Z172" s="21" t="n">
        <f aca="false">SUM(Z166:Z171)</f>
        <v>0</v>
      </c>
      <c r="AA172" s="21" t="n">
        <f aca="false">SUM(AA166:AA171)</f>
        <v>4</v>
      </c>
      <c r="AB172" s="21" t="n">
        <f aca="false">SUM(AB166:AB171)</f>
        <v>0</v>
      </c>
      <c r="AC172" s="21" t="n">
        <f aca="false">SUM(AC166:AC171)</f>
        <v>0</v>
      </c>
      <c r="AD172" s="21" t="n">
        <f aca="false">SUM(AD166:AD171)</f>
        <v>0</v>
      </c>
      <c r="AE172" s="21" t="n">
        <f aca="false">SUM(AE166:AE171)</f>
        <v>0</v>
      </c>
      <c r="AF172" s="21" t="n">
        <f aca="false">SUM(AF166:AF171)</f>
        <v>0</v>
      </c>
      <c r="AG172" s="21" t="n">
        <f aca="false">SUM(AG166:AG171)</f>
        <v>0</v>
      </c>
      <c r="AH172" s="21" t="n">
        <f aca="false">SUM(AH166:AH171)</f>
        <v>0</v>
      </c>
      <c r="AI172" s="21" t="n">
        <f aca="false">SUM(AI166:AI171)</f>
        <v>0</v>
      </c>
      <c r="AJ172" s="21" t="n">
        <f aca="false">SUM(AJ166:AJ171)</f>
        <v>0</v>
      </c>
      <c r="AK172" s="21" t="n">
        <f aca="false">SUM(AK166:AK171)</f>
        <v>0</v>
      </c>
      <c r="AL172" s="21" t="n">
        <f aca="false">SUM(AL166:AL171)</f>
        <v>29</v>
      </c>
      <c r="AM172" s="21" t="n">
        <f aca="false">SUM(AM166:AM171)</f>
        <v>29</v>
      </c>
      <c r="AN172" s="21" t="n">
        <f aca="false">SUM(AN166:AN171)</f>
        <v>58</v>
      </c>
      <c r="AO172" s="21" t="n">
        <f aca="false">SUM(AO166:AO171)</f>
        <v>461</v>
      </c>
      <c r="AP172" s="21" t="n">
        <f aca="false">SUM(AP166:AP171)</f>
        <v>0</v>
      </c>
      <c r="AQ172" s="21" t="n">
        <f aca="false">SUM(AQ166:AQ171)</f>
        <v>1</v>
      </c>
      <c r="AR172" s="21" t="n">
        <f aca="false">SUM(AR166:AR171)</f>
        <v>221</v>
      </c>
      <c r="AS172" s="21" t="n">
        <f aca="false">SUM(AS166:AS171)</f>
        <v>240</v>
      </c>
      <c r="AT172" s="21" t="n">
        <f aca="false">SUM(AT166:AT171)</f>
        <v>461</v>
      </c>
      <c r="AU172" s="21" t="n">
        <f aca="false">SUM(AU166:AU171)</f>
        <v>440</v>
      </c>
      <c r="AV172" s="21" t="n">
        <f aca="false">SUM(AV166:AV171)</f>
        <v>0</v>
      </c>
      <c r="AW172" s="21" t="n">
        <f aca="false">SUM(AW166:AW171)</f>
        <v>0</v>
      </c>
      <c r="AX172" s="21" t="n">
        <f aca="false">SUM(AX166:AX171)</f>
        <v>0</v>
      </c>
      <c r="AY172" s="67" t="n">
        <f aca="false">SUM(AY166:AY171)</f>
        <v>0</v>
      </c>
    </row>
    <row r="173" customFormat="false" ht="15.75" hidden="false" customHeight="false" outlineLevel="0" collapsed="false">
      <c r="AS173" s="54"/>
      <c r="AT173" s="55" t="s">
        <v>104</v>
      </c>
      <c r="AU173" s="55"/>
      <c r="AV173" s="55"/>
    </row>
    <row r="174" customFormat="false" ht="15.75" hidden="false" customHeight="false" outlineLevel="0" collapsed="false">
      <c r="C174" s="55"/>
      <c r="D174" s="55"/>
      <c r="E174" s="55"/>
      <c r="F174" s="55"/>
      <c r="G174" s="55"/>
      <c r="H174" s="55"/>
      <c r="I174" s="55"/>
      <c r="AS174" s="54"/>
    </row>
    <row r="175" customFormat="false" ht="15.75" hidden="false" customHeight="false" outlineLevel="0" collapsed="false">
      <c r="C175" s="55"/>
      <c r="D175" s="55"/>
      <c r="E175" s="55"/>
      <c r="F175" s="55"/>
      <c r="G175" s="55"/>
      <c r="H175" s="55"/>
      <c r="I175" s="55"/>
      <c r="AS175" s="54"/>
    </row>
    <row r="176" customFormat="false" ht="15.75" hidden="false" customHeight="false" outlineLevel="0" collapsed="false">
      <c r="AS176" s="54"/>
    </row>
    <row r="177" customFormat="false" ht="15.75" hidden="false" customHeight="false" outlineLevel="0" collapsed="false">
      <c r="A177" s="2" t="s">
        <v>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customFormat="false" ht="15.75" hidden="false" customHeight="false" outlineLevel="0" collapsed="false">
      <c r="A179" s="3" t="s">
        <v>67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</row>
    <row r="180" customFormat="false" ht="15.75" hidden="false" customHeight="false" outlineLevel="0" collapsed="false">
      <c r="A180" s="3" t="s">
        <v>3</v>
      </c>
      <c r="B180" s="4" t="s">
        <v>68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</row>
    <row r="181" customFormat="false" ht="15.75" hidden="false" customHeight="false" outlineLevel="0" collapsed="false">
      <c r="A181" s="3" t="s">
        <v>111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</row>
    <row r="182" customFormat="false" ht="15.75" hidden="false" customHeight="false" outlineLevel="0" collapsed="false">
      <c r="A182" s="4"/>
      <c r="B182" s="4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customFormat="false" ht="22.5" hidden="false" customHeight="true" outlineLevel="0" collapsed="false">
      <c r="A183" s="7" t="s">
        <v>7</v>
      </c>
      <c r="B183" s="8" t="s">
        <v>8</v>
      </c>
      <c r="C183" s="10" t="s">
        <v>14</v>
      </c>
      <c r="D183" s="10"/>
      <c r="E183" s="10"/>
      <c r="F183" s="10"/>
      <c r="G183" s="10"/>
      <c r="H183" s="11"/>
      <c r="I183" s="11"/>
      <c r="J183" s="7" t="s">
        <v>70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8" t="s">
        <v>71</v>
      </c>
      <c r="AM183" s="8"/>
      <c r="AN183" s="8"/>
      <c r="AO183" s="7" t="s">
        <v>72</v>
      </c>
      <c r="AP183" s="7"/>
      <c r="AQ183" s="7"/>
      <c r="AR183" s="7" t="s">
        <v>73</v>
      </c>
      <c r="AS183" s="7"/>
      <c r="AT183" s="7"/>
      <c r="AU183" s="8" t="s">
        <v>74</v>
      </c>
      <c r="AV183" s="8" t="s">
        <v>75</v>
      </c>
      <c r="AW183" s="8" t="s">
        <v>76</v>
      </c>
      <c r="AX183" s="8" t="s">
        <v>77</v>
      </c>
      <c r="AY183" s="59" t="s">
        <v>78</v>
      </c>
    </row>
    <row r="184" customFormat="false" ht="15" hidden="false" customHeight="true" outlineLevel="0" collapsed="false">
      <c r="A184" s="7"/>
      <c r="B184" s="8"/>
      <c r="C184" s="7" t="s">
        <v>22</v>
      </c>
      <c r="D184" s="7"/>
      <c r="E184" s="7" t="s">
        <v>23</v>
      </c>
      <c r="F184" s="7"/>
      <c r="G184" s="7" t="s">
        <v>24</v>
      </c>
      <c r="H184" s="7"/>
      <c r="I184" s="8" t="s">
        <v>25</v>
      </c>
      <c r="J184" s="8" t="s">
        <v>79</v>
      </c>
      <c r="K184" s="8"/>
      <c r="L184" s="7" t="s">
        <v>80</v>
      </c>
      <c r="M184" s="7"/>
      <c r="N184" s="7"/>
      <c r="O184" s="7"/>
      <c r="P184" s="7" t="s">
        <v>81</v>
      </c>
      <c r="Q184" s="7"/>
      <c r="R184" s="7"/>
      <c r="S184" s="7"/>
      <c r="T184" s="8" t="s">
        <v>82</v>
      </c>
      <c r="U184" s="8"/>
      <c r="V184" s="8" t="s">
        <v>83</v>
      </c>
      <c r="W184" s="8"/>
      <c r="X184" s="8" t="s">
        <v>84</v>
      </c>
      <c r="Y184" s="8"/>
      <c r="Z184" s="8" t="s">
        <v>85</v>
      </c>
      <c r="AA184" s="8"/>
      <c r="AB184" s="8" t="s">
        <v>86</v>
      </c>
      <c r="AC184" s="8"/>
      <c r="AD184" s="8" t="s">
        <v>87</v>
      </c>
      <c r="AE184" s="8"/>
      <c r="AF184" s="8" t="s">
        <v>88</v>
      </c>
      <c r="AG184" s="8"/>
      <c r="AH184" s="8" t="s">
        <v>89</v>
      </c>
      <c r="AI184" s="8"/>
      <c r="AJ184" s="8" t="s">
        <v>90</v>
      </c>
      <c r="AK184" s="8"/>
      <c r="AL184" s="8"/>
      <c r="AM184" s="8"/>
      <c r="AN184" s="8"/>
      <c r="AO184" s="7" t="s">
        <v>91</v>
      </c>
      <c r="AP184" s="7" t="s">
        <v>92</v>
      </c>
      <c r="AQ184" s="7" t="s">
        <v>93</v>
      </c>
      <c r="AR184" s="7"/>
      <c r="AS184" s="7"/>
      <c r="AT184" s="7"/>
      <c r="AU184" s="8"/>
      <c r="AV184" s="8"/>
      <c r="AW184" s="8"/>
      <c r="AX184" s="8"/>
      <c r="AY184" s="59"/>
    </row>
    <row r="185" customFormat="false" ht="27" hidden="false" customHeight="true" outlineLevel="0" collapsed="false">
      <c r="A185" s="7"/>
      <c r="B185" s="8"/>
      <c r="C185" s="7" t="s">
        <v>29</v>
      </c>
      <c r="D185" s="7" t="s">
        <v>30</v>
      </c>
      <c r="E185" s="7" t="s">
        <v>29</v>
      </c>
      <c r="F185" s="7" t="s">
        <v>30</v>
      </c>
      <c r="G185" s="7" t="s">
        <v>29</v>
      </c>
      <c r="H185" s="7" t="s">
        <v>30</v>
      </c>
      <c r="I185" s="8"/>
      <c r="J185" s="8"/>
      <c r="K185" s="8"/>
      <c r="L185" s="7" t="s">
        <v>29</v>
      </c>
      <c r="M185" s="7"/>
      <c r="N185" s="7" t="s">
        <v>94</v>
      </c>
      <c r="O185" s="7"/>
      <c r="P185" s="7" t="s">
        <v>95</v>
      </c>
      <c r="Q185" s="7"/>
      <c r="R185" s="7" t="s">
        <v>96</v>
      </c>
      <c r="S185" s="7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7"/>
      <c r="AP185" s="7"/>
      <c r="AQ185" s="7"/>
      <c r="AR185" s="60" t="s">
        <v>97</v>
      </c>
      <c r="AS185" s="60" t="s">
        <v>98</v>
      </c>
      <c r="AT185" s="60" t="s">
        <v>99</v>
      </c>
      <c r="AU185" s="8"/>
      <c r="AV185" s="8"/>
      <c r="AW185" s="8"/>
      <c r="AX185" s="8"/>
      <c r="AY185" s="59"/>
    </row>
    <row r="186" customFormat="false" ht="60.75" hidden="false" customHeight="true" outlineLevel="0" collapsed="false">
      <c r="A186" s="7"/>
      <c r="B186" s="8"/>
      <c r="C186" s="7"/>
      <c r="D186" s="7"/>
      <c r="E186" s="7"/>
      <c r="F186" s="7"/>
      <c r="G186" s="7"/>
      <c r="H186" s="7"/>
      <c r="I186" s="8"/>
      <c r="J186" s="8" t="s">
        <v>29</v>
      </c>
      <c r="K186" s="8" t="s">
        <v>30</v>
      </c>
      <c r="L186" s="8" t="s">
        <v>29</v>
      </c>
      <c r="M186" s="8" t="s">
        <v>30</v>
      </c>
      <c r="N186" s="8" t="s">
        <v>29</v>
      </c>
      <c r="O186" s="8" t="s">
        <v>30</v>
      </c>
      <c r="P186" s="8" t="s">
        <v>29</v>
      </c>
      <c r="Q186" s="8" t="s">
        <v>30</v>
      </c>
      <c r="R186" s="8" t="s">
        <v>29</v>
      </c>
      <c r="S186" s="8" t="s">
        <v>30</v>
      </c>
      <c r="T186" s="8" t="s">
        <v>29</v>
      </c>
      <c r="U186" s="8" t="s">
        <v>30</v>
      </c>
      <c r="V186" s="8" t="s">
        <v>29</v>
      </c>
      <c r="W186" s="8" t="s">
        <v>30</v>
      </c>
      <c r="X186" s="8" t="s">
        <v>29</v>
      </c>
      <c r="Y186" s="8" t="s">
        <v>30</v>
      </c>
      <c r="Z186" s="8" t="s">
        <v>29</v>
      </c>
      <c r="AA186" s="8" t="s">
        <v>30</v>
      </c>
      <c r="AB186" s="8" t="s">
        <v>29</v>
      </c>
      <c r="AC186" s="8" t="s">
        <v>30</v>
      </c>
      <c r="AD186" s="8" t="s">
        <v>29</v>
      </c>
      <c r="AE186" s="8" t="s">
        <v>30</v>
      </c>
      <c r="AF186" s="8" t="s">
        <v>29</v>
      </c>
      <c r="AG186" s="8" t="s">
        <v>30</v>
      </c>
      <c r="AH186" s="8" t="s">
        <v>29</v>
      </c>
      <c r="AI186" s="8" t="s">
        <v>30</v>
      </c>
      <c r="AJ186" s="8" t="s">
        <v>29</v>
      </c>
      <c r="AK186" s="8" t="s">
        <v>30</v>
      </c>
      <c r="AL186" s="8" t="s">
        <v>29</v>
      </c>
      <c r="AM186" s="8" t="s">
        <v>30</v>
      </c>
      <c r="AN186" s="8" t="s">
        <v>31</v>
      </c>
      <c r="AO186" s="7"/>
      <c r="AP186" s="7"/>
      <c r="AQ186" s="7"/>
      <c r="AR186" s="60"/>
      <c r="AS186" s="60"/>
      <c r="AT186" s="60"/>
      <c r="AU186" s="8"/>
      <c r="AV186" s="8"/>
      <c r="AW186" s="8"/>
      <c r="AX186" s="8"/>
      <c r="AY186" s="59"/>
    </row>
    <row r="187" customFormat="false" ht="13.5" hidden="false" customHeight="true" outlineLevel="0" collapsed="false">
      <c r="A187" s="22" t="n">
        <v>1</v>
      </c>
      <c r="B187" s="23" t="n">
        <v>2</v>
      </c>
      <c r="C187" s="24" t="n">
        <v>3</v>
      </c>
      <c r="D187" s="24"/>
      <c r="E187" s="24"/>
      <c r="F187" s="24"/>
      <c r="G187" s="24"/>
      <c r="H187" s="24"/>
      <c r="I187" s="61" t="n">
        <v>4</v>
      </c>
      <c r="J187" s="24" t="n">
        <v>5</v>
      </c>
      <c r="K187" s="24"/>
      <c r="L187" s="24" t="n">
        <v>6</v>
      </c>
      <c r="M187" s="24"/>
      <c r="N187" s="24"/>
      <c r="O187" s="24"/>
      <c r="P187" s="24" t="n">
        <v>7</v>
      </c>
      <c r="Q187" s="24"/>
      <c r="R187" s="24"/>
      <c r="S187" s="24"/>
      <c r="T187" s="24" t="n">
        <v>8</v>
      </c>
      <c r="U187" s="24"/>
      <c r="V187" s="24" t="n">
        <v>9</v>
      </c>
      <c r="W187" s="24"/>
      <c r="X187" s="24" t="n">
        <f aca="false">+V187+1</f>
        <v>10</v>
      </c>
      <c r="Y187" s="24"/>
      <c r="Z187" s="24" t="n">
        <f aca="false">+X187+1</f>
        <v>11</v>
      </c>
      <c r="AA187" s="24"/>
      <c r="AB187" s="24" t="n">
        <f aca="false">+Z187+1</f>
        <v>12</v>
      </c>
      <c r="AC187" s="24"/>
      <c r="AD187" s="24" t="n">
        <f aca="false">+AB187+1</f>
        <v>13</v>
      </c>
      <c r="AE187" s="24"/>
      <c r="AF187" s="24" t="n">
        <f aca="false">+AD187+1</f>
        <v>14</v>
      </c>
      <c r="AG187" s="24"/>
      <c r="AH187" s="24" t="n">
        <f aca="false">+AF187+1</f>
        <v>15</v>
      </c>
      <c r="AI187" s="24"/>
      <c r="AJ187" s="24" t="n">
        <f aca="false">+AH187+1</f>
        <v>16</v>
      </c>
      <c r="AK187" s="24"/>
      <c r="AL187" s="24" t="n">
        <f aca="false">+AJ187+1</f>
        <v>17</v>
      </c>
      <c r="AM187" s="24"/>
      <c r="AN187" s="24"/>
      <c r="AO187" s="23" t="n">
        <v>18</v>
      </c>
      <c r="AP187" s="23"/>
      <c r="AQ187" s="23"/>
      <c r="AR187" s="62" t="n">
        <v>19</v>
      </c>
      <c r="AS187" s="62"/>
      <c r="AT187" s="62"/>
      <c r="AU187" s="63" t="n">
        <v>20</v>
      </c>
      <c r="AV187" s="24" t="n">
        <v>21</v>
      </c>
      <c r="AW187" s="24" t="n">
        <v>22</v>
      </c>
      <c r="AX187" s="24" t="n">
        <v>23</v>
      </c>
      <c r="AY187" s="23" t="n">
        <v>24</v>
      </c>
      <c r="AZ187" s="64"/>
    </row>
    <row r="188" customFormat="false" ht="32.25" hidden="false" customHeight="true" outlineLevel="0" collapsed="false">
      <c r="A188" s="27" t="n">
        <v>1</v>
      </c>
      <c r="B188" s="69" t="s">
        <v>42</v>
      </c>
      <c r="C188" s="70" t="n">
        <v>443</v>
      </c>
      <c r="D188" s="70" t="n">
        <v>437</v>
      </c>
      <c r="E188" s="71" t="n">
        <v>272</v>
      </c>
      <c r="F188" s="71" t="n">
        <v>276</v>
      </c>
      <c r="G188" s="71" t="n">
        <v>17</v>
      </c>
      <c r="H188" s="71" t="n">
        <v>18</v>
      </c>
      <c r="I188" s="31" t="n">
        <f aca="false">E188+F188+G188+H188</f>
        <v>583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21" t="n">
        <f aca="false">J188+L188+N188+P188+R188+T188+V188+X188+Z188+AB188+AD188+AF188+AH188+AJ188</f>
        <v>0</v>
      </c>
      <c r="AM188" s="21" t="n">
        <f aca="false">J188+L188+N188+P188+R188+T188+V188+X188+Z188+AB188+AD188+AF188+AH188+AJ188</f>
        <v>0</v>
      </c>
      <c r="AN188" s="21" t="n">
        <f aca="false">AL188+AM188</f>
        <v>0</v>
      </c>
      <c r="AO188" s="10"/>
      <c r="AP188" s="10"/>
      <c r="AQ188" s="10"/>
      <c r="AR188" s="65"/>
      <c r="AS188" s="65"/>
      <c r="AT188" s="65"/>
      <c r="AU188" s="10"/>
      <c r="AV188" s="10"/>
      <c r="AW188" s="10"/>
      <c r="AX188" s="10"/>
      <c r="AY188" s="66"/>
      <c r="AZ188" s="41"/>
    </row>
    <row r="189" customFormat="false" ht="32.25" hidden="false" customHeight="true" outlineLevel="0" collapsed="false">
      <c r="A189" s="27" t="n">
        <v>2</v>
      </c>
      <c r="B189" s="69" t="s">
        <v>43</v>
      </c>
      <c r="C189" s="70" t="n">
        <v>255</v>
      </c>
      <c r="D189" s="70" t="n">
        <v>252</v>
      </c>
      <c r="E189" s="71" t="n">
        <v>163</v>
      </c>
      <c r="F189" s="71" t="n">
        <v>169</v>
      </c>
      <c r="G189" s="71" t="n">
        <v>64</v>
      </c>
      <c r="H189" s="71" t="n">
        <v>63</v>
      </c>
      <c r="I189" s="31" t="n">
        <f aca="false">E189+F189+G189+H189</f>
        <v>459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21" t="n">
        <f aca="false">J189+L189+N189+P189+R189+T189+V189+X189+Z189+AB189+AD189+AF189+AH189+AJ189</f>
        <v>0</v>
      </c>
      <c r="AM189" s="21" t="n">
        <f aca="false">J189+L189+N189+P189+R189+T189+V189+X189+Z189+AB189+AD189+AF189+AH189+AJ189</f>
        <v>0</v>
      </c>
      <c r="AN189" s="21" t="n">
        <f aca="false">AL189+AM189</f>
        <v>0</v>
      </c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66"/>
      <c r="AZ189" s="41"/>
    </row>
    <row r="190" customFormat="false" ht="32.25" hidden="false" customHeight="true" outlineLevel="0" collapsed="false">
      <c r="A190" s="27" t="n">
        <v>3</v>
      </c>
      <c r="B190" s="69" t="s">
        <v>100</v>
      </c>
      <c r="C190" s="70" t="n">
        <v>315</v>
      </c>
      <c r="D190" s="70" t="n">
        <v>312</v>
      </c>
      <c r="E190" s="71" t="n">
        <v>198</v>
      </c>
      <c r="F190" s="71" t="n">
        <v>202</v>
      </c>
      <c r="G190" s="71" t="n">
        <v>52</v>
      </c>
      <c r="H190" s="71" t="n">
        <v>55</v>
      </c>
      <c r="I190" s="31" t="n">
        <f aca="false">E190+F190+G190+H190</f>
        <v>507</v>
      </c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21" t="n">
        <f aca="false">J190+L190+N190+P190+R190+T190+V190+X190+Z190+AB190+AD190+AF190+AH190+AJ190</f>
        <v>0</v>
      </c>
      <c r="AM190" s="21" t="n">
        <f aca="false">J190+L190+N190+P190+R190+T190+V190+X190+Z190+AB190+AD190+AF190+AH190+AJ190</f>
        <v>0</v>
      </c>
      <c r="AN190" s="21" t="n">
        <f aca="false">AL190+AM190</f>
        <v>0</v>
      </c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59"/>
      <c r="AZ190" s="41"/>
    </row>
    <row r="191" customFormat="false" ht="32.25" hidden="false" customHeight="true" outlineLevel="0" collapsed="false">
      <c r="A191" s="27" t="n">
        <v>4</v>
      </c>
      <c r="B191" s="69" t="s">
        <v>101</v>
      </c>
      <c r="C191" s="70" t="n">
        <v>201</v>
      </c>
      <c r="D191" s="70" t="n">
        <v>199</v>
      </c>
      <c r="E191" s="71" t="n">
        <v>121</v>
      </c>
      <c r="F191" s="71" t="n">
        <v>125</v>
      </c>
      <c r="G191" s="71" t="n">
        <v>26</v>
      </c>
      <c r="H191" s="71" t="n">
        <v>33</v>
      </c>
      <c r="I191" s="31" t="n">
        <f aca="false">E191+F191+G191+H191</f>
        <v>305</v>
      </c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21" t="n">
        <f aca="false">J191+L191+N191+P191+R191+T191+V191+X191+Z191+AB191+AD191+AF191+AH191+AJ191</f>
        <v>0</v>
      </c>
      <c r="AM191" s="21" t="n">
        <f aca="false">J191+L191+N191+P191+R191+T191+V191+X191+Z191+AB191+AD191+AF191+AH191+AJ191</f>
        <v>0</v>
      </c>
      <c r="AN191" s="21" t="n">
        <f aca="false">AL191+AM191</f>
        <v>0</v>
      </c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66"/>
      <c r="AZ191" s="41"/>
    </row>
    <row r="192" customFormat="false" ht="32.25" hidden="false" customHeight="true" outlineLevel="0" collapsed="false">
      <c r="A192" s="27" t="n">
        <v>5</v>
      </c>
      <c r="B192" s="69" t="s">
        <v>102</v>
      </c>
      <c r="C192" s="70" t="n">
        <v>238</v>
      </c>
      <c r="D192" s="70" t="n">
        <v>239</v>
      </c>
      <c r="E192" s="71" t="n">
        <v>95</v>
      </c>
      <c r="F192" s="71" t="n">
        <v>114</v>
      </c>
      <c r="G192" s="71" t="n">
        <v>55</v>
      </c>
      <c r="H192" s="71" t="n">
        <v>67</v>
      </c>
      <c r="I192" s="31" t="n">
        <f aca="false">SUM(E192:H192)</f>
        <v>331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21" t="n">
        <f aca="false">J192+L192+N192+P192+R192+T192+V192+X192+Z192+AB192+AD192+AF192+AH192+AJ192</f>
        <v>0</v>
      </c>
      <c r="AM192" s="21" t="n">
        <f aca="false">J192+L192+N192+P192+R192+T192+V192+X192+Z192+AB192+AD192+AF192+AH192+AJ192</f>
        <v>0</v>
      </c>
      <c r="AN192" s="21" t="n">
        <f aca="false">AL192+AM192</f>
        <v>0</v>
      </c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66"/>
      <c r="AZ192" s="41"/>
    </row>
    <row r="193" customFormat="false" ht="36.75" hidden="false" customHeight="true" outlineLevel="0" collapsed="false">
      <c r="A193" s="27" t="n">
        <v>6</v>
      </c>
      <c r="B193" s="69" t="s">
        <v>47</v>
      </c>
      <c r="C193" s="70" t="n">
        <v>199</v>
      </c>
      <c r="D193" s="70" t="n">
        <v>197</v>
      </c>
      <c r="E193" s="71" t="n">
        <v>125</v>
      </c>
      <c r="F193" s="71" t="n">
        <v>126</v>
      </c>
      <c r="G193" s="71" t="n">
        <v>23</v>
      </c>
      <c r="H193" s="71" t="n">
        <v>29</v>
      </c>
      <c r="I193" s="31" t="n">
        <f aca="false">E193+F193+G193+H193</f>
        <v>303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21" t="n">
        <f aca="false">J193+L193+N193+P193+R193+T193+V193+X193+Z193+AB193+AD193+AF193+AH193+AJ193</f>
        <v>0</v>
      </c>
      <c r="AM193" s="21" t="n">
        <f aca="false">J193+L193+N193+P193+R193+T193+V193+X193+Z193+AB193+AD193+AF193+AH193+AJ193</f>
        <v>0</v>
      </c>
      <c r="AN193" s="21" t="n">
        <f aca="false">AL193+AM193</f>
        <v>0</v>
      </c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66"/>
      <c r="AZ193" s="46"/>
    </row>
    <row r="194" customFormat="false" ht="15.75" hidden="false" customHeight="false" outlineLevel="0" collapsed="false">
      <c r="A194" s="15" t="s">
        <v>48</v>
      </c>
      <c r="B194" s="15"/>
      <c r="C194" s="31" t="n">
        <f aca="false">SUM(C188:C193)</f>
        <v>1651</v>
      </c>
      <c r="D194" s="31" t="n">
        <f aca="false">SUM(D188:D193)</f>
        <v>1636</v>
      </c>
      <c r="E194" s="31" t="n">
        <f aca="false">SUM(E188:E193)</f>
        <v>974</v>
      </c>
      <c r="F194" s="31" t="n">
        <f aca="false">SUM(F188:F193)</f>
        <v>1012</v>
      </c>
      <c r="G194" s="31" t="n">
        <f aca="false">SUM(G188:G193)</f>
        <v>237</v>
      </c>
      <c r="H194" s="31" t="n">
        <f aca="false">SUM(H188:H193)</f>
        <v>265</v>
      </c>
      <c r="I194" s="31" t="n">
        <f aca="false">SUM(I188:I193)</f>
        <v>2488</v>
      </c>
      <c r="J194" s="21" t="n">
        <f aca="false">SUM(J188:J193)</f>
        <v>0</v>
      </c>
      <c r="K194" s="21" t="n">
        <f aca="false">SUM(K188:K193)</f>
        <v>0</v>
      </c>
      <c r="L194" s="21" t="n">
        <f aca="false">SUM(L188:L193)</f>
        <v>0</v>
      </c>
      <c r="M194" s="21" t="n">
        <f aca="false">SUM(M188:M193)</f>
        <v>0</v>
      </c>
      <c r="N194" s="21" t="n">
        <f aca="false">SUM(N188:N193)</f>
        <v>0</v>
      </c>
      <c r="O194" s="21" t="n">
        <f aca="false">SUM(O188:O193)</f>
        <v>0</v>
      </c>
      <c r="P194" s="21" t="n">
        <f aca="false">SUM(P188:P193)</f>
        <v>0</v>
      </c>
      <c r="Q194" s="21" t="n">
        <f aca="false">SUM(Q188:Q193)</f>
        <v>0</v>
      </c>
      <c r="R194" s="21" t="n">
        <f aca="false">SUM(R188:R193)</f>
        <v>0</v>
      </c>
      <c r="S194" s="21" t="n">
        <f aca="false">SUM(S188:S193)</f>
        <v>0</v>
      </c>
      <c r="T194" s="21" t="n">
        <f aca="false">SUM(T188:T193)</f>
        <v>0</v>
      </c>
      <c r="U194" s="21" t="n">
        <f aca="false">SUM(U188:U193)</f>
        <v>0</v>
      </c>
      <c r="V194" s="21" t="n">
        <f aca="false">SUM(V188:V193)</f>
        <v>0</v>
      </c>
      <c r="W194" s="21" t="n">
        <f aca="false">SUM(W188:W193)</f>
        <v>0</v>
      </c>
      <c r="X194" s="21" t="n">
        <f aca="false">SUM(X188:X193)</f>
        <v>0</v>
      </c>
      <c r="Y194" s="21" t="n">
        <f aca="false">SUM(Y188:Y193)</f>
        <v>0</v>
      </c>
      <c r="Z194" s="21" t="n">
        <f aca="false">SUM(Z188:Z193)</f>
        <v>0</v>
      </c>
      <c r="AA194" s="21" t="n">
        <f aca="false">SUM(AA188:AA193)</f>
        <v>0</v>
      </c>
      <c r="AB194" s="21" t="n">
        <f aca="false">SUM(AB188:AB193)</f>
        <v>0</v>
      </c>
      <c r="AC194" s="21" t="n">
        <f aca="false">SUM(AC188:AC193)</f>
        <v>0</v>
      </c>
      <c r="AD194" s="21" t="n">
        <f aca="false">SUM(AD188:AD193)</f>
        <v>0</v>
      </c>
      <c r="AE194" s="21" t="n">
        <f aca="false">SUM(AE188:AE193)</f>
        <v>0</v>
      </c>
      <c r="AF194" s="21" t="n">
        <f aca="false">SUM(AF188:AF193)</f>
        <v>0</v>
      </c>
      <c r="AG194" s="21" t="n">
        <f aca="false">SUM(AG188:AG193)</f>
        <v>0</v>
      </c>
      <c r="AH194" s="21" t="n">
        <f aca="false">SUM(AH188:AH193)</f>
        <v>0</v>
      </c>
      <c r="AI194" s="21" t="n">
        <f aca="false">SUM(AI188:AI193)</f>
        <v>0</v>
      </c>
      <c r="AJ194" s="21" t="n">
        <f aca="false">SUM(AJ188:AJ193)</f>
        <v>0</v>
      </c>
      <c r="AK194" s="21" t="n">
        <f aca="false">SUM(AK188:AK193)</f>
        <v>0</v>
      </c>
      <c r="AL194" s="21" t="n">
        <f aca="false">SUM(AL188:AL193)</f>
        <v>0</v>
      </c>
      <c r="AM194" s="21" t="n">
        <f aca="false">SUM(AM188:AM193)</f>
        <v>0</v>
      </c>
      <c r="AN194" s="21" t="n">
        <f aca="false">SUM(AN188:AN193)</f>
        <v>0</v>
      </c>
      <c r="AO194" s="21" t="n">
        <f aca="false">SUM(AO188:AO193)</f>
        <v>0</v>
      </c>
      <c r="AP194" s="21" t="n">
        <f aca="false">SUM(AP188:AP193)</f>
        <v>0</v>
      </c>
      <c r="AQ194" s="21" t="n">
        <f aca="false">SUM(AQ188:AQ193)</f>
        <v>0</v>
      </c>
      <c r="AR194" s="21" t="n">
        <f aca="false">SUM(AR188:AR193)</f>
        <v>0</v>
      </c>
      <c r="AS194" s="21" t="n">
        <f aca="false">SUM(AS188:AS193)</f>
        <v>0</v>
      </c>
      <c r="AT194" s="21" t="n">
        <f aca="false">SUM(AT188:AT193)</f>
        <v>0</v>
      </c>
      <c r="AU194" s="21" t="n">
        <f aca="false">SUM(AU188:AU193)</f>
        <v>0</v>
      </c>
      <c r="AV194" s="21" t="n">
        <f aca="false">SUM(AV188:AV193)</f>
        <v>0</v>
      </c>
      <c r="AW194" s="21" t="n">
        <f aca="false">SUM(AW188:AW193)</f>
        <v>0</v>
      </c>
      <c r="AX194" s="21" t="n">
        <f aca="false">SUM(AX188:AX193)</f>
        <v>0</v>
      </c>
      <c r="AY194" s="67" t="n">
        <f aca="false">SUM(AY188:AY193)</f>
        <v>0</v>
      </c>
    </row>
    <row r="195" customFormat="false" ht="15.75" hidden="false" customHeight="false" outlineLevel="0" collapsed="false">
      <c r="AS195" s="54"/>
      <c r="AT195" s="55" t="s">
        <v>104</v>
      </c>
      <c r="AU195" s="55"/>
      <c r="AV195" s="55"/>
    </row>
    <row r="196" customFormat="false" ht="15.75" hidden="false" customHeight="false" outlineLevel="0" collapsed="false">
      <c r="C196" s="55"/>
      <c r="D196" s="55"/>
      <c r="E196" s="55"/>
      <c r="F196" s="55"/>
      <c r="G196" s="55"/>
      <c r="H196" s="55"/>
      <c r="I196" s="55"/>
      <c r="AS196" s="54"/>
    </row>
    <row r="197" customFormat="false" ht="15.75" hidden="false" customHeight="false" outlineLevel="0" collapsed="false">
      <c r="C197" s="55"/>
      <c r="D197" s="55"/>
      <c r="E197" s="55"/>
      <c r="F197" s="55"/>
      <c r="G197" s="55"/>
      <c r="H197" s="55"/>
      <c r="I197" s="55"/>
      <c r="AS197" s="54"/>
    </row>
    <row r="198" customFormat="false" ht="15.75" hidden="false" customHeight="false" outlineLevel="0" collapsed="false">
      <c r="AS198" s="54"/>
    </row>
    <row r="199" customFormat="false" ht="15.75" hidden="false" customHeight="false" outlineLevel="0" collapsed="false">
      <c r="A199" s="2" t="s">
        <v>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customFormat="false" ht="15.75" hidden="false" customHeight="false" outlineLevel="0" collapsed="false">
      <c r="A201" s="3" t="s">
        <v>67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</row>
    <row r="202" customFormat="false" ht="15.75" hidden="false" customHeight="false" outlineLevel="0" collapsed="false">
      <c r="A202" s="3" t="s">
        <v>3</v>
      </c>
      <c r="B202" s="4" t="s">
        <v>68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</row>
    <row r="203" customFormat="false" ht="15.75" hidden="false" customHeight="false" outlineLevel="0" collapsed="false">
      <c r="A203" s="3" t="s">
        <v>112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</row>
    <row r="204" customFormat="false" ht="15.75" hidden="false" customHeight="false" outlineLevel="0" collapsed="false">
      <c r="A204" s="4"/>
      <c r="B204" s="4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customFormat="false" ht="22.5" hidden="false" customHeight="true" outlineLevel="0" collapsed="false">
      <c r="A205" s="7" t="s">
        <v>7</v>
      </c>
      <c r="B205" s="8" t="s">
        <v>8</v>
      </c>
      <c r="C205" s="10" t="s">
        <v>14</v>
      </c>
      <c r="D205" s="10"/>
      <c r="E205" s="10"/>
      <c r="F205" s="10"/>
      <c r="G205" s="10"/>
      <c r="H205" s="11"/>
      <c r="I205" s="11"/>
      <c r="J205" s="7" t="s">
        <v>70</v>
      </c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8" t="s">
        <v>71</v>
      </c>
      <c r="AM205" s="8"/>
      <c r="AN205" s="8"/>
      <c r="AO205" s="7" t="s">
        <v>72</v>
      </c>
      <c r="AP205" s="7"/>
      <c r="AQ205" s="7"/>
      <c r="AR205" s="7" t="s">
        <v>73</v>
      </c>
      <c r="AS205" s="7"/>
      <c r="AT205" s="7"/>
      <c r="AU205" s="8" t="s">
        <v>74</v>
      </c>
      <c r="AV205" s="8" t="s">
        <v>75</v>
      </c>
      <c r="AW205" s="8" t="s">
        <v>76</v>
      </c>
      <c r="AX205" s="8" t="s">
        <v>77</v>
      </c>
      <c r="AY205" s="59" t="s">
        <v>78</v>
      </c>
    </row>
    <row r="206" customFormat="false" ht="15" hidden="false" customHeight="true" outlineLevel="0" collapsed="false">
      <c r="A206" s="7"/>
      <c r="B206" s="8"/>
      <c r="C206" s="7" t="s">
        <v>22</v>
      </c>
      <c r="D206" s="7"/>
      <c r="E206" s="7" t="s">
        <v>23</v>
      </c>
      <c r="F206" s="7"/>
      <c r="G206" s="7" t="s">
        <v>24</v>
      </c>
      <c r="H206" s="7"/>
      <c r="I206" s="8" t="s">
        <v>25</v>
      </c>
      <c r="J206" s="8" t="s">
        <v>79</v>
      </c>
      <c r="K206" s="8"/>
      <c r="L206" s="7" t="s">
        <v>80</v>
      </c>
      <c r="M206" s="7"/>
      <c r="N206" s="7"/>
      <c r="O206" s="7"/>
      <c r="P206" s="7" t="s">
        <v>81</v>
      </c>
      <c r="Q206" s="7"/>
      <c r="R206" s="7"/>
      <c r="S206" s="7"/>
      <c r="T206" s="8" t="s">
        <v>82</v>
      </c>
      <c r="U206" s="8"/>
      <c r="V206" s="8" t="s">
        <v>83</v>
      </c>
      <c r="W206" s="8"/>
      <c r="X206" s="8" t="s">
        <v>84</v>
      </c>
      <c r="Y206" s="8"/>
      <c r="Z206" s="8" t="s">
        <v>85</v>
      </c>
      <c r="AA206" s="8"/>
      <c r="AB206" s="8" t="s">
        <v>86</v>
      </c>
      <c r="AC206" s="8"/>
      <c r="AD206" s="8" t="s">
        <v>87</v>
      </c>
      <c r="AE206" s="8"/>
      <c r="AF206" s="8" t="s">
        <v>88</v>
      </c>
      <c r="AG206" s="8"/>
      <c r="AH206" s="8" t="s">
        <v>89</v>
      </c>
      <c r="AI206" s="8"/>
      <c r="AJ206" s="8" t="s">
        <v>90</v>
      </c>
      <c r="AK206" s="8"/>
      <c r="AL206" s="8"/>
      <c r="AM206" s="8"/>
      <c r="AN206" s="8"/>
      <c r="AO206" s="7" t="s">
        <v>91</v>
      </c>
      <c r="AP206" s="7" t="s">
        <v>92</v>
      </c>
      <c r="AQ206" s="7" t="s">
        <v>93</v>
      </c>
      <c r="AR206" s="7"/>
      <c r="AS206" s="7"/>
      <c r="AT206" s="7"/>
      <c r="AU206" s="8"/>
      <c r="AV206" s="8"/>
      <c r="AW206" s="8"/>
      <c r="AX206" s="8"/>
      <c r="AY206" s="59"/>
    </row>
    <row r="207" customFormat="false" ht="27" hidden="false" customHeight="true" outlineLevel="0" collapsed="false">
      <c r="A207" s="7"/>
      <c r="B207" s="8"/>
      <c r="C207" s="7" t="s">
        <v>29</v>
      </c>
      <c r="D207" s="7" t="s">
        <v>30</v>
      </c>
      <c r="E207" s="7" t="s">
        <v>29</v>
      </c>
      <c r="F207" s="7" t="s">
        <v>30</v>
      </c>
      <c r="G207" s="7" t="s">
        <v>29</v>
      </c>
      <c r="H207" s="7" t="s">
        <v>30</v>
      </c>
      <c r="I207" s="8"/>
      <c r="J207" s="8"/>
      <c r="K207" s="8"/>
      <c r="L207" s="7" t="s">
        <v>29</v>
      </c>
      <c r="M207" s="7"/>
      <c r="N207" s="7" t="s">
        <v>94</v>
      </c>
      <c r="O207" s="7"/>
      <c r="P207" s="7" t="s">
        <v>95</v>
      </c>
      <c r="Q207" s="7"/>
      <c r="R207" s="7" t="s">
        <v>96</v>
      </c>
      <c r="S207" s="7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7"/>
      <c r="AP207" s="7"/>
      <c r="AQ207" s="7"/>
      <c r="AR207" s="60" t="s">
        <v>97</v>
      </c>
      <c r="AS207" s="60" t="s">
        <v>98</v>
      </c>
      <c r="AT207" s="60" t="s">
        <v>99</v>
      </c>
      <c r="AU207" s="8"/>
      <c r="AV207" s="8"/>
      <c r="AW207" s="8"/>
      <c r="AX207" s="8"/>
      <c r="AY207" s="59"/>
    </row>
    <row r="208" customFormat="false" ht="60.75" hidden="false" customHeight="true" outlineLevel="0" collapsed="false">
      <c r="A208" s="7"/>
      <c r="B208" s="8"/>
      <c r="C208" s="7"/>
      <c r="D208" s="7"/>
      <c r="E208" s="7"/>
      <c r="F208" s="7"/>
      <c r="G208" s="7"/>
      <c r="H208" s="7"/>
      <c r="I208" s="8"/>
      <c r="J208" s="8" t="s">
        <v>29</v>
      </c>
      <c r="K208" s="8" t="s">
        <v>30</v>
      </c>
      <c r="L208" s="8" t="s">
        <v>29</v>
      </c>
      <c r="M208" s="8" t="s">
        <v>30</v>
      </c>
      <c r="N208" s="8" t="s">
        <v>29</v>
      </c>
      <c r="O208" s="8" t="s">
        <v>30</v>
      </c>
      <c r="P208" s="8" t="s">
        <v>29</v>
      </c>
      <c r="Q208" s="8" t="s">
        <v>30</v>
      </c>
      <c r="R208" s="8" t="s">
        <v>29</v>
      </c>
      <c r="S208" s="8" t="s">
        <v>30</v>
      </c>
      <c r="T208" s="8" t="s">
        <v>29</v>
      </c>
      <c r="U208" s="8" t="s">
        <v>30</v>
      </c>
      <c r="V208" s="8" t="s">
        <v>29</v>
      </c>
      <c r="W208" s="8" t="s">
        <v>30</v>
      </c>
      <c r="X208" s="8" t="s">
        <v>29</v>
      </c>
      <c r="Y208" s="8" t="s">
        <v>30</v>
      </c>
      <c r="Z208" s="8" t="s">
        <v>29</v>
      </c>
      <c r="AA208" s="8" t="s">
        <v>30</v>
      </c>
      <c r="AB208" s="8" t="s">
        <v>29</v>
      </c>
      <c r="AC208" s="8" t="s">
        <v>30</v>
      </c>
      <c r="AD208" s="8" t="s">
        <v>29</v>
      </c>
      <c r="AE208" s="8" t="s">
        <v>30</v>
      </c>
      <c r="AF208" s="8" t="s">
        <v>29</v>
      </c>
      <c r="AG208" s="8" t="s">
        <v>30</v>
      </c>
      <c r="AH208" s="8" t="s">
        <v>29</v>
      </c>
      <c r="AI208" s="8" t="s">
        <v>30</v>
      </c>
      <c r="AJ208" s="8" t="s">
        <v>29</v>
      </c>
      <c r="AK208" s="8" t="s">
        <v>30</v>
      </c>
      <c r="AL208" s="8" t="s">
        <v>29</v>
      </c>
      <c r="AM208" s="8" t="s">
        <v>30</v>
      </c>
      <c r="AN208" s="8" t="s">
        <v>31</v>
      </c>
      <c r="AO208" s="7"/>
      <c r="AP208" s="7"/>
      <c r="AQ208" s="7"/>
      <c r="AR208" s="60"/>
      <c r="AS208" s="60"/>
      <c r="AT208" s="60"/>
      <c r="AU208" s="8"/>
      <c r="AV208" s="8"/>
      <c r="AW208" s="8"/>
      <c r="AX208" s="8"/>
      <c r="AY208" s="59"/>
    </row>
    <row r="209" customFormat="false" ht="13.5" hidden="false" customHeight="true" outlineLevel="0" collapsed="false">
      <c r="A209" s="22" t="n">
        <v>1</v>
      </c>
      <c r="B209" s="23" t="n">
        <v>2</v>
      </c>
      <c r="C209" s="24" t="n">
        <v>3</v>
      </c>
      <c r="D209" s="24"/>
      <c r="E209" s="24"/>
      <c r="F209" s="24"/>
      <c r="G209" s="24"/>
      <c r="H209" s="24"/>
      <c r="I209" s="61" t="n">
        <v>4</v>
      </c>
      <c r="J209" s="24" t="n">
        <v>5</v>
      </c>
      <c r="K209" s="24"/>
      <c r="L209" s="24" t="n">
        <v>6</v>
      </c>
      <c r="M209" s="24"/>
      <c r="N209" s="24"/>
      <c r="O209" s="24"/>
      <c r="P209" s="24" t="n">
        <v>7</v>
      </c>
      <c r="Q209" s="24"/>
      <c r="R209" s="24"/>
      <c r="S209" s="24"/>
      <c r="T209" s="24" t="n">
        <v>8</v>
      </c>
      <c r="U209" s="24"/>
      <c r="V209" s="24" t="n">
        <v>9</v>
      </c>
      <c r="W209" s="24"/>
      <c r="X209" s="24" t="n">
        <f aca="false">+V209+1</f>
        <v>10</v>
      </c>
      <c r="Y209" s="24"/>
      <c r="Z209" s="24" t="n">
        <f aca="false">+X209+1</f>
        <v>11</v>
      </c>
      <c r="AA209" s="24"/>
      <c r="AB209" s="24" t="n">
        <f aca="false">+Z209+1</f>
        <v>12</v>
      </c>
      <c r="AC209" s="24"/>
      <c r="AD209" s="24" t="n">
        <f aca="false">+AB209+1</f>
        <v>13</v>
      </c>
      <c r="AE209" s="24"/>
      <c r="AF209" s="24" t="n">
        <f aca="false">+AD209+1</f>
        <v>14</v>
      </c>
      <c r="AG209" s="24"/>
      <c r="AH209" s="24" t="n">
        <f aca="false">+AF209+1</f>
        <v>15</v>
      </c>
      <c r="AI209" s="24"/>
      <c r="AJ209" s="24" t="n">
        <f aca="false">+AH209+1</f>
        <v>16</v>
      </c>
      <c r="AK209" s="24"/>
      <c r="AL209" s="24" t="n">
        <f aca="false">+AJ209+1</f>
        <v>17</v>
      </c>
      <c r="AM209" s="24"/>
      <c r="AN209" s="24"/>
      <c r="AO209" s="23" t="n">
        <v>18</v>
      </c>
      <c r="AP209" s="23"/>
      <c r="AQ209" s="23"/>
      <c r="AR209" s="62" t="n">
        <v>19</v>
      </c>
      <c r="AS209" s="62"/>
      <c r="AT209" s="62"/>
      <c r="AU209" s="63" t="n">
        <v>20</v>
      </c>
      <c r="AV209" s="24" t="n">
        <v>21</v>
      </c>
      <c r="AW209" s="24" t="n">
        <v>22</v>
      </c>
      <c r="AX209" s="24" t="n">
        <v>23</v>
      </c>
      <c r="AY209" s="23" t="n">
        <v>24</v>
      </c>
      <c r="AZ209" s="64"/>
    </row>
    <row r="210" customFormat="false" ht="32.25" hidden="false" customHeight="true" outlineLevel="0" collapsed="false">
      <c r="A210" s="27" t="n">
        <v>1</v>
      </c>
      <c r="B210" s="69" t="s">
        <v>42</v>
      </c>
      <c r="C210" s="70" t="n">
        <v>443</v>
      </c>
      <c r="D210" s="70" t="n">
        <v>437</v>
      </c>
      <c r="E210" s="71" t="n">
        <v>272</v>
      </c>
      <c r="F210" s="71" t="n">
        <v>276</v>
      </c>
      <c r="G210" s="71" t="n">
        <v>17</v>
      </c>
      <c r="H210" s="71" t="n">
        <v>18</v>
      </c>
      <c r="I210" s="31" t="n">
        <f aca="false">E210+F210+G210+H210</f>
        <v>583</v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21" t="n">
        <f aca="false">J210+L210+N210+P210+R210+T210+V210+X210+Z210+AB210+AD210+AF210+AH210+AJ210</f>
        <v>0</v>
      </c>
      <c r="AM210" s="21" t="n">
        <f aca="false">J210+L210+N210+P210+R210+T210+V210+X210+Z210+AB210+AD210+AF210+AH210+AJ210</f>
        <v>0</v>
      </c>
      <c r="AN210" s="21" t="n">
        <f aca="false">AL210+AM210</f>
        <v>0</v>
      </c>
      <c r="AO210" s="10"/>
      <c r="AP210" s="10"/>
      <c r="AQ210" s="10"/>
      <c r="AR210" s="65"/>
      <c r="AS210" s="65"/>
      <c r="AT210" s="65"/>
      <c r="AU210" s="10"/>
      <c r="AV210" s="10"/>
      <c r="AW210" s="10"/>
      <c r="AX210" s="10"/>
      <c r="AY210" s="66"/>
      <c r="AZ210" s="41"/>
    </row>
    <row r="211" customFormat="false" ht="32.25" hidden="false" customHeight="true" outlineLevel="0" collapsed="false">
      <c r="A211" s="27" t="n">
        <v>2</v>
      </c>
      <c r="B211" s="69" t="s">
        <v>43</v>
      </c>
      <c r="C211" s="70" t="n">
        <v>255</v>
      </c>
      <c r="D211" s="70" t="n">
        <v>252</v>
      </c>
      <c r="E211" s="71" t="n">
        <v>163</v>
      </c>
      <c r="F211" s="71" t="n">
        <v>169</v>
      </c>
      <c r="G211" s="71" t="n">
        <v>64</v>
      </c>
      <c r="H211" s="71" t="n">
        <v>63</v>
      </c>
      <c r="I211" s="31" t="n">
        <f aca="false">E211+F211+G211+H211</f>
        <v>459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21" t="n">
        <f aca="false">J211+L211+N211+P211+R211+T211+V211+X211+Z211+AB211+AD211+AF211+AH211+AJ211</f>
        <v>0</v>
      </c>
      <c r="AM211" s="21" t="n">
        <f aca="false">J211+L211+N211+P211+R211+T211+V211+X211+Z211+AB211+AD211+AF211+AH211+AJ211</f>
        <v>0</v>
      </c>
      <c r="AN211" s="21" t="n">
        <f aca="false">AL211+AM211</f>
        <v>0</v>
      </c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66"/>
      <c r="AZ211" s="41"/>
    </row>
    <row r="212" customFormat="false" ht="32.25" hidden="false" customHeight="true" outlineLevel="0" collapsed="false">
      <c r="A212" s="27" t="n">
        <v>3</v>
      </c>
      <c r="B212" s="69" t="s">
        <v>100</v>
      </c>
      <c r="C212" s="70" t="n">
        <v>315</v>
      </c>
      <c r="D212" s="70" t="n">
        <v>312</v>
      </c>
      <c r="E212" s="71" t="n">
        <v>198</v>
      </c>
      <c r="F212" s="71" t="n">
        <v>202</v>
      </c>
      <c r="G212" s="71" t="n">
        <v>52</v>
      </c>
      <c r="H212" s="71" t="n">
        <v>55</v>
      </c>
      <c r="I212" s="31" t="n">
        <f aca="false">E212+F212+G212+H212</f>
        <v>507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21" t="n">
        <f aca="false">J212+L212+N212+P212+R212+T212+V212+X212+Z212+AB212+AD212+AF212+AH212+AJ212</f>
        <v>0</v>
      </c>
      <c r="AM212" s="21" t="n">
        <f aca="false">J212+L212+N212+P212+R212+T212+V212+X212+Z212+AB212+AD212+AF212+AH212+AJ212</f>
        <v>0</v>
      </c>
      <c r="AN212" s="21" t="n">
        <f aca="false">AL212+AM212</f>
        <v>0</v>
      </c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59"/>
      <c r="AZ212" s="41"/>
    </row>
    <row r="213" customFormat="false" ht="32.25" hidden="false" customHeight="true" outlineLevel="0" collapsed="false">
      <c r="A213" s="27" t="n">
        <v>4</v>
      </c>
      <c r="B213" s="69" t="s">
        <v>101</v>
      </c>
      <c r="C213" s="70" t="n">
        <v>201</v>
      </c>
      <c r="D213" s="70" t="n">
        <v>199</v>
      </c>
      <c r="E213" s="71" t="n">
        <v>121</v>
      </c>
      <c r="F213" s="71" t="n">
        <v>125</v>
      </c>
      <c r="G213" s="71" t="n">
        <v>26</v>
      </c>
      <c r="H213" s="71" t="n">
        <v>33</v>
      </c>
      <c r="I213" s="31" t="n">
        <f aca="false">E213+F213+G213+H213</f>
        <v>305</v>
      </c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21" t="n">
        <f aca="false">J213+L213+N213+P213+R213+T213+V213+X213+Z213+AB213+AD213+AF213+AH213+AJ213</f>
        <v>0</v>
      </c>
      <c r="AM213" s="21" t="n">
        <f aca="false">J213+L213+N213+P213+R213+T213+V213+X213+Z213+AB213+AD213+AF213+AH213+AJ213</f>
        <v>0</v>
      </c>
      <c r="AN213" s="21" t="n">
        <f aca="false">AL213+AM213</f>
        <v>0</v>
      </c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66"/>
      <c r="AZ213" s="41"/>
    </row>
    <row r="214" customFormat="false" ht="32.25" hidden="false" customHeight="true" outlineLevel="0" collapsed="false">
      <c r="A214" s="27" t="n">
        <v>5</v>
      </c>
      <c r="B214" s="69" t="s">
        <v>102</v>
      </c>
      <c r="C214" s="70" t="n">
        <v>238</v>
      </c>
      <c r="D214" s="70" t="n">
        <v>239</v>
      </c>
      <c r="E214" s="71" t="n">
        <v>95</v>
      </c>
      <c r="F214" s="71" t="n">
        <v>114</v>
      </c>
      <c r="G214" s="71" t="n">
        <v>55</v>
      </c>
      <c r="H214" s="71" t="n">
        <v>67</v>
      </c>
      <c r="I214" s="31" t="n">
        <f aca="false">SUM(E214:H214)</f>
        <v>331</v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21" t="n">
        <f aca="false">J214+L214+N214+P214+R214+T214+V214+X214+Z214+AB214+AD214+AF214+AH214+AJ214</f>
        <v>0</v>
      </c>
      <c r="AM214" s="21" t="n">
        <f aca="false">J214+L214+N214+P214+R214+T214+V214+X214+Z214+AB214+AD214+AF214+AH214+AJ214</f>
        <v>0</v>
      </c>
      <c r="AN214" s="21" t="n">
        <f aca="false">AL214+AM214</f>
        <v>0</v>
      </c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66"/>
      <c r="AZ214" s="41"/>
    </row>
    <row r="215" customFormat="false" ht="36.75" hidden="false" customHeight="true" outlineLevel="0" collapsed="false">
      <c r="A215" s="27" t="n">
        <v>6</v>
      </c>
      <c r="B215" s="69" t="s">
        <v>47</v>
      </c>
      <c r="C215" s="70" t="n">
        <v>199</v>
      </c>
      <c r="D215" s="70" t="n">
        <v>197</v>
      </c>
      <c r="E215" s="71" t="n">
        <v>125</v>
      </c>
      <c r="F215" s="71" t="n">
        <v>126</v>
      </c>
      <c r="G215" s="71" t="n">
        <v>23</v>
      </c>
      <c r="H215" s="71" t="n">
        <v>29</v>
      </c>
      <c r="I215" s="31" t="n">
        <f aca="false">E215+F215+G215+H215</f>
        <v>303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21" t="n">
        <f aca="false">J215+L215+N215+P215+R215+T215+V215+X215+Z215+AB215+AD215+AF215+AH215+AJ215</f>
        <v>0</v>
      </c>
      <c r="AM215" s="21" t="n">
        <f aca="false">J215+L215+N215+P215+R215+T215+V215+X215+Z215+AB215+AD215+AF215+AH215+AJ215</f>
        <v>0</v>
      </c>
      <c r="AN215" s="21" t="n">
        <f aca="false">AL215+AM215</f>
        <v>0</v>
      </c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66"/>
      <c r="AZ215" s="46"/>
    </row>
    <row r="216" customFormat="false" ht="15.75" hidden="false" customHeight="false" outlineLevel="0" collapsed="false">
      <c r="A216" s="15" t="s">
        <v>48</v>
      </c>
      <c r="B216" s="15"/>
      <c r="C216" s="31" t="n">
        <f aca="false">SUM(C210:C215)</f>
        <v>1651</v>
      </c>
      <c r="D216" s="31" t="n">
        <f aca="false">SUM(D210:D215)</f>
        <v>1636</v>
      </c>
      <c r="E216" s="31" t="n">
        <f aca="false">SUM(E210:E215)</f>
        <v>974</v>
      </c>
      <c r="F216" s="31" t="n">
        <f aca="false">SUM(F210:F215)</f>
        <v>1012</v>
      </c>
      <c r="G216" s="31" t="n">
        <f aca="false">SUM(G210:G215)</f>
        <v>237</v>
      </c>
      <c r="H216" s="31" t="n">
        <f aca="false">SUM(H210:H215)</f>
        <v>265</v>
      </c>
      <c r="I216" s="31" t="n">
        <f aca="false">SUM(I210:I215)</f>
        <v>2488</v>
      </c>
      <c r="J216" s="21" t="n">
        <f aca="false">SUM(J210:J215)</f>
        <v>0</v>
      </c>
      <c r="K216" s="21" t="n">
        <f aca="false">SUM(K210:K215)</f>
        <v>0</v>
      </c>
      <c r="L216" s="21" t="n">
        <f aca="false">SUM(L210:L215)</f>
        <v>0</v>
      </c>
      <c r="M216" s="21" t="n">
        <f aca="false">SUM(M210:M215)</f>
        <v>0</v>
      </c>
      <c r="N216" s="21" t="n">
        <f aca="false">SUM(N210:N215)</f>
        <v>0</v>
      </c>
      <c r="O216" s="21" t="n">
        <f aca="false">SUM(O210:O215)</f>
        <v>0</v>
      </c>
      <c r="P216" s="21" t="n">
        <f aca="false">SUM(P210:P215)</f>
        <v>0</v>
      </c>
      <c r="Q216" s="21" t="n">
        <f aca="false">SUM(Q210:Q215)</f>
        <v>0</v>
      </c>
      <c r="R216" s="21" t="n">
        <f aca="false">SUM(R210:R215)</f>
        <v>0</v>
      </c>
      <c r="S216" s="21" t="n">
        <f aca="false">SUM(S210:S215)</f>
        <v>0</v>
      </c>
      <c r="T216" s="21" t="n">
        <f aca="false">SUM(T210:T215)</f>
        <v>0</v>
      </c>
      <c r="U216" s="21" t="n">
        <f aca="false">SUM(U210:U215)</f>
        <v>0</v>
      </c>
      <c r="V216" s="21" t="n">
        <f aca="false">SUM(V210:V215)</f>
        <v>0</v>
      </c>
      <c r="W216" s="21" t="n">
        <f aca="false">SUM(W210:W215)</f>
        <v>0</v>
      </c>
      <c r="X216" s="21" t="n">
        <f aca="false">SUM(X210:X215)</f>
        <v>0</v>
      </c>
      <c r="Y216" s="21" t="n">
        <f aca="false">SUM(Y210:Y215)</f>
        <v>0</v>
      </c>
      <c r="Z216" s="21" t="n">
        <f aca="false">SUM(Z210:Z215)</f>
        <v>0</v>
      </c>
      <c r="AA216" s="21" t="n">
        <f aca="false">SUM(AA210:AA215)</f>
        <v>0</v>
      </c>
      <c r="AB216" s="21" t="n">
        <f aca="false">SUM(AB210:AB215)</f>
        <v>0</v>
      </c>
      <c r="AC216" s="21" t="n">
        <f aca="false">SUM(AC210:AC215)</f>
        <v>0</v>
      </c>
      <c r="AD216" s="21" t="n">
        <f aca="false">SUM(AD210:AD215)</f>
        <v>0</v>
      </c>
      <c r="AE216" s="21" t="n">
        <f aca="false">SUM(AE210:AE215)</f>
        <v>0</v>
      </c>
      <c r="AF216" s="21" t="n">
        <f aca="false">SUM(AF210:AF215)</f>
        <v>0</v>
      </c>
      <c r="AG216" s="21" t="n">
        <f aca="false">SUM(AG210:AG215)</f>
        <v>0</v>
      </c>
      <c r="AH216" s="21" t="n">
        <f aca="false">SUM(AH210:AH215)</f>
        <v>0</v>
      </c>
      <c r="AI216" s="21" t="n">
        <f aca="false">SUM(AI210:AI215)</f>
        <v>0</v>
      </c>
      <c r="AJ216" s="21" t="n">
        <f aca="false">SUM(AJ210:AJ215)</f>
        <v>0</v>
      </c>
      <c r="AK216" s="21" t="n">
        <f aca="false">SUM(AK210:AK215)</f>
        <v>0</v>
      </c>
      <c r="AL216" s="21" t="n">
        <f aca="false">SUM(AL210:AL215)</f>
        <v>0</v>
      </c>
      <c r="AM216" s="21" t="n">
        <f aca="false">SUM(AM210:AM215)</f>
        <v>0</v>
      </c>
      <c r="AN216" s="21" t="n">
        <f aca="false">SUM(AN210:AN215)</f>
        <v>0</v>
      </c>
      <c r="AO216" s="21" t="n">
        <f aca="false">SUM(AO210:AO215)</f>
        <v>0</v>
      </c>
      <c r="AP216" s="21" t="n">
        <f aca="false">SUM(AP210:AP215)</f>
        <v>0</v>
      </c>
      <c r="AQ216" s="21" t="n">
        <f aca="false">SUM(AQ210:AQ215)</f>
        <v>0</v>
      </c>
      <c r="AR216" s="21" t="n">
        <f aca="false">SUM(AR210:AR215)</f>
        <v>0</v>
      </c>
      <c r="AS216" s="21" t="n">
        <f aca="false">SUM(AS210:AS215)</f>
        <v>0</v>
      </c>
      <c r="AT216" s="21" t="n">
        <f aca="false">SUM(AT210:AT215)</f>
        <v>0</v>
      </c>
      <c r="AU216" s="21" t="n">
        <f aca="false">SUM(AU210:AU215)</f>
        <v>0</v>
      </c>
      <c r="AV216" s="21" t="n">
        <f aca="false">SUM(AV210:AV215)</f>
        <v>0</v>
      </c>
      <c r="AW216" s="21" t="n">
        <f aca="false">SUM(AW210:AW215)</f>
        <v>0</v>
      </c>
      <c r="AX216" s="21" t="n">
        <f aca="false">SUM(AX210:AX215)</f>
        <v>0</v>
      </c>
      <c r="AY216" s="67" t="n">
        <f aca="false">SUM(AY210:AY215)</f>
        <v>0</v>
      </c>
    </row>
    <row r="217" customFormat="false" ht="15.75" hidden="false" customHeight="false" outlineLevel="0" collapsed="false">
      <c r="AS217" s="54"/>
      <c r="AT217" s="55" t="s">
        <v>104</v>
      </c>
      <c r="AU217" s="55"/>
      <c r="AV217" s="55"/>
    </row>
    <row r="218" customFormat="false" ht="15.75" hidden="false" customHeight="false" outlineLevel="0" collapsed="false">
      <c r="C218" s="55"/>
      <c r="D218" s="55"/>
      <c r="E218" s="55"/>
      <c r="F218" s="55"/>
      <c r="G218" s="55"/>
      <c r="H218" s="55"/>
      <c r="I218" s="55"/>
      <c r="AS218" s="54"/>
    </row>
    <row r="219" customFormat="false" ht="15.75" hidden="false" customHeight="false" outlineLevel="0" collapsed="false">
      <c r="C219" s="55"/>
      <c r="D219" s="55"/>
      <c r="E219" s="55"/>
      <c r="F219" s="55"/>
      <c r="G219" s="55"/>
      <c r="H219" s="55"/>
      <c r="I219" s="55"/>
      <c r="AS219" s="54"/>
    </row>
    <row r="220" customFormat="false" ht="15.75" hidden="false" customHeight="false" outlineLevel="0" collapsed="false">
      <c r="AS220" s="54"/>
    </row>
    <row r="221" customFormat="false" ht="15.75" hidden="false" customHeight="false" outlineLevel="0" collapsed="false">
      <c r="A221" s="2" t="s">
        <v>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customFormat="false" ht="15.75" hidden="false" customHeight="false" outlineLevel="0" collapsed="false">
      <c r="A223" s="3" t="s">
        <v>67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</row>
    <row r="224" customFormat="false" ht="15.75" hidden="false" customHeight="false" outlineLevel="0" collapsed="false">
      <c r="A224" s="3" t="s">
        <v>3</v>
      </c>
      <c r="B224" s="4" t="s">
        <v>68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</row>
    <row r="225" customFormat="false" ht="15.75" hidden="false" customHeight="false" outlineLevel="0" collapsed="false">
      <c r="A225" s="3" t="s">
        <v>113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</row>
    <row r="226" customFormat="false" ht="15.75" hidden="false" customHeight="false" outlineLevel="0" collapsed="false">
      <c r="A226" s="4"/>
      <c r="B226" s="4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customFormat="false" ht="22.5" hidden="false" customHeight="true" outlineLevel="0" collapsed="false">
      <c r="A227" s="7" t="s">
        <v>7</v>
      </c>
      <c r="B227" s="8" t="s">
        <v>8</v>
      </c>
      <c r="C227" s="10" t="s">
        <v>14</v>
      </c>
      <c r="D227" s="10"/>
      <c r="E227" s="10"/>
      <c r="F227" s="10"/>
      <c r="G227" s="10"/>
      <c r="H227" s="11"/>
      <c r="I227" s="11"/>
      <c r="J227" s="7" t="s">
        <v>70</v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8" t="s">
        <v>71</v>
      </c>
      <c r="AM227" s="8"/>
      <c r="AN227" s="8"/>
      <c r="AO227" s="7" t="s">
        <v>72</v>
      </c>
      <c r="AP227" s="7"/>
      <c r="AQ227" s="7"/>
      <c r="AR227" s="7" t="s">
        <v>73</v>
      </c>
      <c r="AS227" s="7"/>
      <c r="AT227" s="7"/>
      <c r="AU227" s="8" t="s">
        <v>74</v>
      </c>
      <c r="AV227" s="8" t="s">
        <v>75</v>
      </c>
      <c r="AW227" s="8" t="s">
        <v>76</v>
      </c>
      <c r="AX227" s="8" t="s">
        <v>77</v>
      </c>
      <c r="AY227" s="59" t="s">
        <v>78</v>
      </c>
    </row>
    <row r="228" customFormat="false" ht="15" hidden="false" customHeight="true" outlineLevel="0" collapsed="false">
      <c r="A228" s="7"/>
      <c r="B228" s="8"/>
      <c r="C228" s="7" t="s">
        <v>22</v>
      </c>
      <c r="D228" s="7"/>
      <c r="E228" s="7" t="s">
        <v>23</v>
      </c>
      <c r="F228" s="7"/>
      <c r="G228" s="7" t="s">
        <v>24</v>
      </c>
      <c r="H228" s="7"/>
      <c r="I228" s="8" t="s">
        <v>25</v>
      </c>
      <c r="J228" s="8" t="s">
        <v>79</v>
      </c>
      <c r="K228" s="8"/>
      <c r="L228" s="7" t="s">
        <v>80</v>
      </c>
      <c r="M228" s="7"/>
      <c r="N228" s="7"/>
      <c r="O228" s="7"/>
      <c r="P228" s="7" t="s">
        <v>81</v>
      </c>
      <c r="Q228" s="7"/>
      <c r="R228" s="7"/>
      <c r="S228" s="7"/>
      <c r="T228" s="8" t="s">
        <v>82</v>
      </c>
      <c r="U228" s="8"/>
      <c r="V228" s="8" t="s">
        <v>83</v>
      </c>
      <c r="W228" s="8"/>
      <c r="X228" s="8" t="s">
        <v>84</v>
      </c>
      <c r="Y228" s="8"/>
      <c r="Z228" s="8" t="s">
        <v>85</v>
      </c>
      <c r="AA228" s="8"/>
      <c r="AB228" s="8" t="s">
        <v>86</v>
      </c>
      <c r="AC228" s="8"/>
      <c r="AD228" s="8" t="s">
        <v>87</v>
      </c>
      <c r="AE228" s="8"/>
      <c r="AF228" s="8" t="s">
        <v>88</v>
      </c>
      <c r="AG228" s="8"/>
      <c r="AH228" s="8" t="s">
        <v>89</v>
      </c>
      <c r="AI228" s="8"/>
      <c r="AJ228" s="8" t="s">
        <v>90</v>
      </c>
      <c r="AK228" s="8"/>
      <c r="AL228" s="8"/>
      <c r="AM228" s="8"/>
      <c r="AN228" s="8"/>
      <c r="AO228" s="7" t="s">
        <v>91</v>
      </c>
      <c r="AP228" s="7" t="s">
        <v>92</v>
      </c>
      <c r="AQ228" s="7" t="s">
        <v>93</v>
      </c>
      <c r="AR228" s="7"/>
      <c r="AS228" s="7"/>
      <c r="AT228" s="7"/>
      <c r="AU228" s="8"/>
      <c r="AV228" s="8"/>
      <c r="AW228" s="8"/>
      <c r="AX228" s="8"/>
      <c r="AY228" s="59"/>
    </row>
    <row r="229" customFormat="false" ht="27" hidden="false" customHeight="true" outlineLevel="0" collapsed="false">
      <c r="A229" s="7"/>
      <c r="B229" s="8"/>
      <c r="C229" s="7" t="s">
        <v>29</v>
      </c>
      <c r="D229" s="7" t="s">
        <v>30</v>
      </c>
      <c r="E229" s="7" t="s">
        <v>29</v>
      </c>
      <c r="F229" s="7" t="s">
        <v>30</v>
      </c>
      <c r="G229" s="7" t="s">
        <v>29</v>
      </c>
      <c r="H229" s="7" t="s">
        <v>30</v>
      </c>
      <c r="I229" s="8"/>
      <c r="J229" s="8"/>
      <c r="K229" s="8"/>
      <c r="L229" s="7" t="s">
        <v>29</v>
      </c>
      <c r="M229" s="7"/>
      <c r="N229" s="7" t="s">
        <v>94</v>
      </c>
      <c r="O229" s="7"/>
      <c r="P229" s="7" t="s">
        <v>95</v>
      </c>
      <c r="Q229" s="7"/>
      <c r="R229" s="7" t="s">
        <v>96</v>
      </c>
      <c r="S229" s="7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7"/>
      <c r="AP229" s="7"/>
      <c r="AQ229" s="7"/>
      <c r="AR229" s="60" t="s">
        <v>97</v>
      </c>
      <c r="AS229" s="60" t="s">
        <v>98</v>
      </c>
      <c r="AT229" s="60" t="s">
        <v>99</v>
      </c>
      <c r="AU229" s="8"/>
      <c r="AV229" s="8"/>
      <c r="AW229" s="8"/>
      <c r="AX229" s="8"/>
      <c r="AY229" s="59"/>
    </row>
    <row r="230" customFormat="false" ht="60.75" hidden="false" customHeight="true" outlineLevel="0" collapsed="false">
      <c r="A230" s="7"/>
      <c r="B230" s="8"/>
      <c r="C230" s="7"/>
      <c r="D230" s="7"/>
      <c r="E230" s="7"/>
      <c r="F230" s="7"/>
      <c r="G230" s="7"/>
      <c r="H230" s="7"/>
      <c r="I230" s="8"/>
      <c r="J230" s="8" t="s">
        <v>29</v>
      </c>
      <c r="K230" s="8" t="s">
        <v>30</v>
      </c>
      <c r="L230" s="8" t="s">
        <v>29</v>
      </c>
      <c r="M230" s="8" t="s">
        <v>30</v>
      </c>
      <c r="N230" s="8" t="s">
        <v>29</v>
      </c>
      <c r="O230" s="8" t="s">
        <v>30</v>
      </c>
      <c r="P230" s="8" t="s">
        <v>29</v>
      </c>
      <c r="Q230" s="8" t="s">
        <v>30</v>
      </c>
      <c r="R230" s="8" t="s">
        <v>29</v>
      </c>
      <c r="S230" s="8" t="s">
        <v>30</v>
      </c>
      <c r="T230" s="8" t="s">
        <v>29</v>
      </c>
      <c r="U230" s="8" t="s">
        <v>30</v>
      </c>
      <c r="V230" s="8" t="s">
        <v>29</v>
      </c>
      <c r="W230" s="8" t="s">
        <v>30</v>
      </c>
      <c r="X230" s="8" t="s">
        <v>29</v>
      </c>
      <c r="Y230" s="8" t="s">
        <v>30</v>
      </c>
      <c r="Z230" s="8" t="s">
        <v>29</v>
      </c>
      <c r="AA230" s="8" t="s">
        <v>30</v>
      </c>
      <c r="AB230" s="8" t="s">
        <v>29</v>
      </c>
      <c r="AC230" s="8" t="s">
        <v>30</v>
      </c>
      <c r="AD230" s="8" t="s">
        <v>29</v>
      </c>
      <c r="AE230" s="8" t="s">
        <v>30</v>
      </c>
      <c r="AF230" s="8" t="s">
        <v>29</v>
      </c>
      <c r="AG230" s="8" t="s">
        <v>30</v>
      </c>
      <c r="AH230" s="8" t="s">
        <v>29</v>
      </c>
      <c r="AI230" s="8" t="s">
        <v>30</v>
      </c>
      <c r="AJ230" s="8" t="s">
        <v>29</v>
      </c>
      <c r="AK230" s="8" t="s">
        <v>30</v>
      </c>
      <c r="AL230" s="8" t="s">
        <v>29</v>
      </c>
      <c r="AM230" s="8" t="s">
        <v>30</v>
      </c>
      <c r="AN230" s="8" t="s">
        <v>31</v>
      </c>
      <c r="AO230" s="7"/>
      <c r="AP230" s="7"/>
      <c r="AQ230" s="7"/>
      <c r="AR230" s="60"/>
      <c r="AS230" s="60"/>
      <c r="AT230" s="60"/>
      <c r="AU230" s="8"/>
      <c r="AV230" s="8"/>
      <c r="AW230" s="8"/>
      <c r="AX230" s="8"/>
      <c r="AY230" s="59"/>
    </row>
    <row r="231" customFormat="false" ht="13.5" hidden="false" customHeight="true" outlineLevel="0" collapsed="false">
      <c r="A231" s="22" t="n">
        <v>1</v>
      </c>
      <c r="B231" s="23" t="n">
        <v>2</v>
      </c>
      <c r="C231" s="24" t="n">
        <v>3</v>
      </c>
      <c r="D231" s="24"/>
      <c r="E231" s="24"/>
      <c r="F231" s="24"/>
      <c r="G231" s="24"/>
      <c r="H231" s="24"/>
      <c r="I231" s="61" t="n">
        <v>4</v>
      </c>
      <c r="J231" s="24" t="n">
        <v>5</v>
      </c>
      <c r="K231" s="24"/>
      <c r="L231" s="24" t="n">
        <v>6</v>
      </c>
      <c r="M231" s="24"/>
      <c r="N231" s="24"/>
      <c r="O231" s="24"/>
      <c r="P231" s="24" t="n">
        <v>7</v>
      </c>
      <c r="Q231" s="24"/>
      <c r="R231" s="24"/>
      <c r="S231" s="24"/>
      <c r="T231" s="24" t="n">
        <v>8</v>
      </c>
      <c r="U231" s="24"/>
      <c r="V231" s="24" t="n">
        <v>9</v>
      </c>
      <c r="W231" s="24"/>
      <c r="X231" s="24" t="n">
        <f aca="false">+V231+1</f>
        <v>10</v>
      </c>
      <c r="Y231" s="24"/>
      <c r="Z231" s="24" t="n">
        <f aca="false">+X231+1</f>
        <v>11</v>
      </c>
      <c r="AA231" s="24"/>
      <c r="AB231" s="24" t="n">
        <f aca="false">+Z231+1</f>
        <v>12</v>
      </c>
      <c r="AC231" s="24"/>
      <c r="AD231" s="24" t="n">
        <f aca="false">+AB231+1</f>
        <v>13</v>
      </c>
      <c r="AE231" s="24"/>
      <c r="AF231" s="24" t="n">
        <f aca="false">+AD231+1</f>
        <v>14</v>
      </c>
      <c r="AG231" s="24"/>
      <c r="AH231" s="24" t="n">
        <f aca="false">+AF231+1</f>
        <v>15</v>
      </c>
      <c r="AI231" s="24"/>
      <c r="AJ231" s="24" t="n">
        <f aca="false">+AH231+1</f>
        <v>16</v>
      </c>
      <c r="AK231" s="24"/>
      <c r="AL231" s="24" t="n">
        <f aca="false">+AJ231+1</f>
        <v>17</v>
      </c>
      <c r="AM231" s="24"/>
      <c r="AN231" s="24"/>
      <c r="AO231" s="23" t="n">
        <v>18</v>
      </c>
      <c r="AP231" s="23"/>
      <c r="AQ231" s="23"/>
      <c r="AR231" s="62" t="n">
        <v>19</v>
      </c>
      <c r="AS231" s="62"/>
      <c r="AT231" s="62"/>
      <c r="AU231" s="63" t="n">
        <v>20</v>
      </c>
      <c r="AV231" s="24" t="n">
        <v>21</v>
      </c>
      <c r="AW231" s="24" t="n">
        <v>22</v>
      </c>
      <c r="AX231" s="24" t="n">
        <v>23</v>
      </c>
      <c r="AY231" s="23" t="n">
        <v>24</v>
      </c>
      <c r="AZ231" s="64"/>
    </row>
    <row r="232" customFormat="false" ht="32.25" hidden="false" customHeight="true" outlineLevel="0" collapsed="false">
      <c r="A232" s="27" t="n">
        <v>1</v>
      </c>
      <c r="B232" s="69" t="s">
        <v>42</v>
      </c>
      <c r="C232" s="70" t="n">
        <v>443</v>
      </c>
      <c r="D232" s="70" t="n">
        <v>437</v>
      </c>
      <c r="E232" s="71" t="n">
        <v>272</v>
      </c>
      <c r="F232" s="71" t="n">
        <v>276</v>
      </c>
      <c r="G232" s="71" t="n">
        <v>17</v>
      </c>
      <c r="H232" s="71" t="n">
        <v>18</v>
      </c>
      <c r="I232" s="31" t="n">
        <f aca="false">E232+F232+G232+H232</f>
        <v>583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21" t="n">
        <f aca="false">J232+L232+N232+P232+R232+T232+V232+X232+Z232+AB232+AD232+AF232+AH232+AJ232</f>
        <v>0</v>
      </c>
      <c r="AM232" s="21" t="n">
        <f aca="false">J232+L232+N232+P232+R232+T232+V232+X232+Z232+AB232+AD232+AF232+AH232+AJ232</f>
        <v>0</v>
      </c>
      <c r="AN232" s="21" t="n">
        <f aca="false">AL232+AM232</f>
        <v>0</v>
      </c>
      <c r="AO232" s="10"/>
      <c r="AP232" s="10"/>
      <c r="AQ232" s="10"/>
      <c r="AR232" s="65"/>
      <c r="AS232" s="65"/>
      <c r="AT232" s="65"/>
      <c r="AU232" s="10"/>
      <c r="AV232" s="10"/>
      <c r="AW232" s="10"/>
      <c r="AX232" s="10"/>
      <c r="AY232" s="66"/>
      <c r="AZ232" s="41"/>
    </row>
    <row r="233" customFormat="false" ht="32.25" hidden="false" customHeight="true" outlineLevel="0" collapsed="false">
      <c r="A233" s="27" t="n">
        <v>2</v>
      </c>
      <c r="B233" s="69" t="s">
        <v>43</v>
      </c>
      <c r="C233" s="70" t="n">
        <v>255</v>
      </c>
      <c r="D233" s="70" t="n">
        <v>252</v>
      </c>
      <c r="E233" s="71" t="n">
        <v>163</v>
      </c>
      <c r="F233" s="71" t="n">
        <v>169</v>
      </c>
      <c r="G233" s="71" t="n">
        <v>64</v>
      </c>
      <c r="H233" s="71" t="n">
        <v>63</v>
      </c>
      <c r="I233" s="31" t="n">
        <f aca="false">E233+F233+G233+H233</f>
        <v>459</v>
      </c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21" t="n">
        <f aca="false">J233+L233+N233+P233+R233+T233+V233+X233+Z233+AB233+AD233+AF233+AH233+AJ233</f>
        <v>0</v>
      </c>
      <c r="AM233" s="21" t="n">
        <f aca="false">J233+L233+N233+P233+R233+T233+V233+X233+Z233+AB233+AD233+AF233+AH233+AJ233</f>
        <v>0</v>
      </c>
      <c r="AN233" s="21" t="n">
        <f aca="false">AL233+AM233</f>
        <v>0</v>
      </c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66"/>
      <c r="AZ233" s="41"/>
    </row>
    <row r="234" customFormat="false" ht="32.25" hidden="false" customHeight="true" outlineLevel="0" collapsed="false">
      <c r="A234" s="27" t="n">
        <v>3</v>
      </c>
      <c r="B234" s="69" t="s">
        <v>100</v>
      </c>
      <c r="C234" s="70" t="n">
        <v>315</v>
      </c>
      <c r="D234" s="70" t="n">
        <v>312</v>
      </c>
      <c r="E234" s="71" t="n">
        <v>198</v>
      </c>
      <c r="F234" s="71" t="n">
        <v>202</v>
      </c>
      <c r="G234" s="71" t="n">
        <v>52</v>
      </c>
      <c r="H234" s="71" t="n">
        <v>55</v>
      </c>
      <c r="I234" s="31" t="n">
        <f aca="false">E234+F234+G234+H234</f>
        <v>507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21" t="n">
        <f aca="false">J234+L234+N234+P234+R234+T234+V234+X234+Z234+AB234+AD234+AF234+AH234+AJ234</f>
        <v>0</v>
      </c>
      <c r="AM234" s="21" t="n">
        <f aca="false">J234+L234+N234+P234+R234+T234+V234+X234+Z234+AB234+AD234+AF234+AH234+AJ234</f>
        <v>0</v>
      </c>
      <c r="AN234" s="21" t="n">
        <f aca="false">AL234+AM234</f>
        <v>0</v>
      </c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59"/>
      <c r="AZ234" s="41"/>
    </row>
    <row r="235" customFormat="false" ht="32.25" hidden="false" customHeight="true" outlineLevel="0" collapsed="false">
      <c r="A235" s="27" t="n">
        <v>4</v>
      </c>
      <c r="B235" s="69" t="s">
        <v>101</v>
      </c>
      <c r="C235" s="70" t="n">
        <v>201</v>
      </c>
      <c r="D235" s="70" t="n">
        <v>199</v>
      </c>
      <c r="E235" s="71" t="n">
        <v>121</v>
      </c>
      <c r="F235" s="71" t="n">
        <v>125</v>
      </c>
      <c r="G235" s="71" t="n">
        <v>26</v>
      </c>
      <c r="H235" s="71" t="n">
        <v>33</v>
      </c>
      <c r="I235" s="31" t="n">
        <f aca="false">E235+F235+G235+H235</f>
        <v>305</v>
      </c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21" t="n">
        <f aca="false">J235+L235+N235+P235+R235+T235+V235+X235+Z235+AB235+AD235+AF235+AH235+AJ235</f>
        <v>0</v>
      </c>
      <c r="AM235" s="21" t="n">
        <f aca="false">J235+L235+N235+P235+R235+T235+V235+X235+Z235+AB235+AD235+AF235+AH235+AJ235</f>
        <v>0</v>
      </c>
      <c r="AN235" s="21" t="n">
        <f aca="false">AL235+AM235</f>
        <v>0</v>
      </c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66"/>
      <c r="AZ235" s="41"/>
    </row>
    <row r="236" customFormat="false" ht="32.25" hidden="false" customHeight="true" outlineLevel="0" collapsed="false">
      <c r="A236" s="27" t="n">
        <v>5</v>
      </c>
      <c r="B236" s="69" t="s">
        <v>102</v>
      </c>
      <c r="C236" s="70" t="n">
        <v>238</v>
      </c>
      <c r="D236" s="70" t="n">
        <v>239</v>
      </c>
      <c r="E236" s="71" t="n">
        <v>95</v>
      </c>
      <c r="F236" s="71" t="n">
        <v>114</v>
      </c>
      <c r="G236" s="71" t="n">
        <v>55</v>
      </c>
      <c r="H236" s="71" t="n">
        <v>67</v>
      </c>
      <c r="I236" s="31" t="n">
        <f aca="false">SUM(E236:H236)</f>
        <v>331</v>
      </c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21" t="n">
        <f aca="false">J236+L236+N236+P236+R236+T236+V236+X236+Z236+AB236+AD236+AF236+AH236+AJ236</f>
        <v>0</v>
      </c>
      <c r="AM236" s="21" t="n">
        <f aca="false">J236+L236+N236+P236+R236+T236+V236+X236+Z236+AB236+AD236+AF236+AH236+AJ236</f>
        <v>0</v>
      </c>
      <c r="AN236" s="21" t="n">
        <f aca="false">AL236+AM236</f>
        <v>0</v>
      </c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66"/>
      <c r="AZ236" s="41"/>
    </row>
    <row r="237" customFormat="false" ht="36.75" hidden="false" customHeight="true" outlineLevel="0" collapsed="false">
      <c r="A237" s="27" t="n">
        <v>6</v>
      </c>
      <c r="B237" s="69" t="s">
        <v>47</v>
      </c>
      <c r="C237" s="70" t="n">
        <v>199</v>
      </c>
      <c r="D237" s="70" t="n">
        <v>197</v>
      </c>
      <c r="E237" s="71" t="n">
        <v>125</v>
      </c>
      <c r="F237" s="71" t="n">
        <v>126</v>
      </c>
      <c r="G237" s="71" t="n">
        <v>23</v>
      </c>
      <c r="H237" s="71" t="n">
        <v>29</v>
      </c>
      <c r="I237" s="31" t="n">
        <f aca="false">E237+F237+G237+H237</f>
        <v>303</v>
      </c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21" t="n">
        <f aca="false">J237+L237+N237+P237+R237+T237+V237+X237+Z237+AB237+AD237+AF237+AH237+AJ237</f>
        <v>0</v>
      </c>
      <c r="AM237" s="21" t="n">
        <f aca="false">J237+L237+N237+P237+R237+T237+V237+X237+Z237+AB237+AD237+AF237+AH237+AJ237</f>
        <v>0</v>
      </c>
      <c r="AN237" s="21" t="n">
        <f aca="false">AL237+AM237</f>
        <v>0</v>
      </c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66"/>
      <c r="AZ237" s="46"/>
    </row>
    <row r="238" customFormat="false" ht="15.75" hidden="false" customHeight="false" outlineLevel="0" collapsed="false">
      <c r="A238" s="15" t="s">
        <v>48</v>
      </c>
      <c r="B238" s="15"/>
      <c r="C238" s="31" t="n">
        <f aca="false">SUM(C232:C237)</f>
        <v>1651</v>
      </c>
      <c r="D238" s="31" t="n">
        <f aca="false">SUM(D232:D237)</f>
        <v>1636</v>
      </c>
      <c r="E238" s="31" t="n">
        <f aca="false">SUM(E232:E237)</f>
        <v>974</v>
      </c>
      <c r="F238" s="31" t="n">
        <f aca="false">SUM(F232:F237)</f>
        <v>1012</v>
      </c>
      <c r="G238" s="31" t="n">
        <f aca="false">SUM(G232:G237)</f>
        <v>237</v>
      </c>
      <c r="H238" s="31" t="n">
        <f aca="false">SUM(H232:H237)</f>
        <v>265</v>
      </c>
      <c r="I238" s="31" t="n">
        <f aca="false">SUM(I232:I237)</f>
        <v>2488</v>
      </c>
      <c r="J238" s="21" t="n">
        <f aca="false">SUM(J232:J237)</f>
        <v>0</v>
      </c>
      <c r="K238" s="21" t="n">
        <f aca="false">SUM(K232:K237)</f>
        <v>0</v>
      </c>
      <c r="L238" s="21" t="n">
        <f aca="false">SUM(L232:L237)</f>
        <v>0</v>
      </c>
      <c r="M238" s="21" t="n">
        <f aca="false">SUM(M232:M237)</f>
        <v>0</v>
      </c>
      <c r="N238" s="21" t="n">
        <f aca="false">SUM(N232:N237)</f>
        <v>0</v>
      </c>
      <c r="O238" s="21" t="n">
        <f aca="false">SUM(O232:O237)</f>
        <v>0</v>
      </c>
      <c r="P238" s="21" t="n">
        <f aca="false">SUM(P232:P237)</f>
        <v>0</v>
      </c>
      <c r="Q238" s="21" t="n">
        <f aca="false">SUM(Q232:Q237)</f>
        <v>0</v>
      </c>
      <c r="R238" s="21" t="n">
        <f aca="false">SUM(R232:R237)</f>
        <v>0</v>
      </c>
      <c r="S238" s="21" t="n">
        <f aca="false">SUM(S232:S237)</f>
        <v>0</v>
      </c>
      <c r="T238" s="21" t="n">
        <f aca="false">SUM(T232:T237)</f>
        <v>0</v>
      </c>
      <c r="U238" s="21" t="n">
        <f aca="false">SUM(U232:U237)</f>
        <v>0</v>
      </c>
      <c r="V238" s="21" t="n">
        <f aca="false">SUM(V232:V237)</f>
        <v>0</v>
      </c>
      <c r="W238" s="21" t="n">
        <f aca="false">SUM(W232:W237)</f>
        <v>0</v>
      </c>
      <c r="X238" s="21" t="n">
        <f aca="false">SUM(X232:X237)</f>
        <v>0</v>
      </c>
      <c r="Y238" s="21" t="n">
        <f aca="false">SUM(Y232:Y237)</f>
        <v>0</v>
      </c>
      <c r="Z238" s="21" t="n">
        <f aca="false">SUM(Z232:Z237)</f>
        <v>0</v>
      </c>
      <c r="AA238" s="21" t="n">
        <f aca="false">SUM(AA232:AA237)</f>
        <v>0</v>
      </c>
      <c r="AB238" s="21" t="n">
        <f aca="false">SUM(AB232:AB237)</f>
        <v>0</v>
      </c>
      <c r="AC238" s="21" t="n">
        <f aca="false">SUM(AC232:AC237)</f>
        <v>0</v>
      </c>
      <c r="AD238" s="21" t="n">
        <f aca="false">SUM(AD232:AD237)</f>
        <v>0</v>
      </c>
      <c r="AE238" s="21" t="n">
        <f aca="false">SUM(AE232:AE237)</f>
        <v>0</v>
      </c>
      <c r="AF238" s="21" t="n">
        <f aca="false">SUM(AF232:AF237)</f>
        <v>0</v>
      </c>
      <c r="AG238" s="21" t="n">
        <f aca="false">SUM(AG232:AG237)</f>
        <v>0</v>
      </c>
      <c r="AH238" s="21" t="n">
        <f aca="false">SUM(AH232:AH237)</f>
        <v>0</v>
      </c>
      <c r="AI238" s="21" t="n">
        <f aca="false">SUM(AI232:AI237)</f>
        <v>0</v>
      </c>
      <c r="AJ238" s="21" t="n">
        <f aca="false">SUM(AJ232:AJ237)</f>
        <v>0</v>
      </c>
      <c r="AK238" s="21" t="n">
        <f aca="false">SUM(AK232:AK237)</f>
        <v>0</v>
      </c>
      <c r="AL238" s="21" t="n">
        <f aca="false">SUM(AL232:AL237)</f>
        <v>0</v>
      </c>
      <c r="AM238" s="21" t="n">
        <f aca="false">SUM(AM232:AM237)</f>
        <v>0</v>
      </c>
      <c r="AN238" s="21" t="n">
        <f aca="false">SUM(AN232:AN237)</f>
        <v>0</v>
      </c>
      <c r="AO238" s="21" t="n">
        <f aca="false">SUM(AO232:AO237)</f>
        <v>0</v>
      </c>
      <c r="AP238" s="21" t="n">
        <f aca="false">SUM(AP232:AP237)</f>
        <v>0</v>
      </c>
      <c r="AQ238" s="21" t="n">
        <f aca="false">SUM(AQ232:AQ237)</f>
        <v>0</v>
      </c>
      <c r="AR238" s="21" t="n">
        <f aca="false">SUM(AR232:AR237)</f>
        <v>0</v>
      </c>
      <c r="AS238" s="21" t="n">
        <f aca="false">SUM(AS232:AS237)</f>
        <v>0</v>
      </c>
      <c r="AT238" s="21" t="n">
        <f aca="false">SUM(AT232:AT237)</f>
        <v>0</v>
      </c>
      <c r="AU238" s="21" t="n">
        <f aca="false">SUM(AU232:AU237)</f>
        <v>0</v>
      </c>
      <c r="AV238" s="21" t="n">
        <f aca="false">SUM(AV232:AV237)</f>
        <v>0</v>
      </c>
      <c r="AW238" s="21" t="n">
        <f aca="false">SUM(AW232:AW237)</f>
        <v>0</v>
      </c>
      <c r="AX238" s="21" t="n">
        <f aca="false">SUM(AX232:AX237)</f>
        <v>0</v>
      </c>
      <c r="AY238" s="67" t="n">
        <f aca="false">SUM(AY232:AY237)</f>
        <v>0</v>
      </c>
    </row>
    <row r="239" customFormat="false" ht="15.75" hidden="false" customHeight="false" outlineLevel="0" collapsed="false">
      <c r="AS239" s="54"/>
      <c r="AT239" s="55" t="s">
        <v>104</v>
      </c>
      <c r="AU239" s="55"/>
      <c r="AV239" s="55"/>
    </row>
    <row r="240" customFormat="false" ht="15.75" hidden="false" customHeight="false" outlineLevel="0" collapsed="false">
      <c r="C240" s="55"/>
      <c r="D240" s="55"/>
      <c r="E240" s="55"/>
      <c r="F240" s="55"/>
      <c r="G240" s="55"/>
      <c r="H240" s="55"/>
      <c r="I240" s="55"/>
      <c r="AS240" s="54"/>
    </row>
    <row r="241" customFormat="false" ht="15.75" hidden="false" customHeight="false" outlineLevel="0" collapsed="false">
      <c r="C241" s="55"/>
      <c r="D241" s="55"/>
      <c r="E241" s="55"/>
      <c r="F241" s="55"/>
      <c r="G241" s="55"/>
      <c r="H241" s="55"/>
      <c r="I241" s="55"/>
      <c r="AS241" s="54"/>
    </row>
    <row r="242" customFormat="false" ht="15.75" hidden="false" customHeight="false" outlineLevel="0" collapsed="false">
      <c r="AS242" s="54"/>
    </row>
    <row r="243" customFormat="false" ht="15.75" hidden="false" customHeight="false" outlineLevel="0" collapsed="false">
      <c r="A243" s="2" t="s">
        <v>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customFormat="false" ht="15.75" hidden="false" customHeight="false" outlineLevel="0" collapsed="false">
      <c r="A245" s="3" t="s">
        <v>67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</row>
    <row r="246" customFormat="false" ht="15.75" hidden="false" customHeight="false" outlineLevel="0" collapsed="false">
      <c r="A246" s="3" t="s">
        <v>3</v>
      </c>
      <c r="B246" s="4" t="s">
        <v>68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</row>
    <row r="247" customFormat="false" ht="15.75" hidden="false" customHeight="false" outlineLevel="0" collapsed="false">
      <c r="A247" s="3" t="s">
        <v>114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</row>
    <row r="248" customFormat="false" ht="15.75" hidden="false" customHeight="false" outlineLevel="0" collapsed="false">
      <c r="A248" s="4"/>
      <c r="B248" s="4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customFormat="false" ht="22.5" hidden="false" customHeight="true" outlineLevel="0" collapsed="false">
      <c r="A249" s="7" t="s">
        <v>7</v>
      </c>
      <c r="B249" s="8" t="s">
        <v>8</v>
      </c>
      <c r="C249" s="10" t="s">
        <v>14</v>
      </c>
      <c r="D249" s="10"/>
      <c r="E249" s="10"/>
      <c r="F249" s="10"/>
      <c r="G249" s="10"/>
      <c r="H249" s="11"/>
      <c r="I249" s="11"/>
      <c r="J249" s="7" t="s">
        <v>70</v>
      </c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8" t="s">
        <v>71</v>
      </c>
      <c r="AM249" s="8"/>
      <c r="AN249" s="8"/>
      <c r="AO249" s="7" t="s">
        <v>72</v>
      </c>
      <c r="AP249" s="7"/>
      <c r="AQ249" s="7"/>
      <c r="AR249" s="7" t="s">
        <v>73</v>
      </c>
      <c r="AS249" s="7"/>
      <c r="AT249" s="7"/>
      <c r="AU249" s="8" t="s">
        <v>74</v>
      </c>
      <c r="AV249" s="8" t="s">
        <v>75</v>
      </c>
      <c r="AW249" s="8" t="s">
        <v>76</v>
      </c>
      <c r="AX249" s="8" t="s">
        <v>77</v>
      </c>
      <c r="AY249" s="59" t="s">
        <v>78</v>
      </c>
    </row>
    <row r="250" customFormat="false" ht="15" hidden="false" customHeight="true" outlineLevel="0" collapsed="false">
      <c r="A250" s="7"/>
      <c r="B250" s="8"/>
      <c r="C250" s="7" t="s">
        <v>22</v>
      </c>
      <c r="D250" s="7"/>
      <c r="E250" s="7" t="s">
        <v>23</v>
      </c>
      <c r="F250" s="7"/>
      <c r="G250" s="7" t="s">
        <v>24</v>
      </c>
      <c r="H250" s="7"/>
      <c r="I250" s="8" t="s">
        <v>25</v>
      </c>
      <c r="J250" s="8" t="s">
        <v>79</v>
      </c>
      <c r="K250" s="8"/>
      <c r="L250" s="7" t="s">
        <v>80</v>
      </c>
      <c r="M250" s="7"/>
      <c r="N250" s="7"/>
      <c r="O250" s="7"/>
      <c r="P250" s="7" t="s">
        <v>81</v>
      </c>
      <c r="Q250" s="7"/>
      <c r="R250" s="7"/>
      <c r="S250" s="7"/>
      <c r="T250" s="8" t="s">
        <v>82</v>
      </c>
      <c r="U250" s="8"/>
      <c r="V250" s="8" t="s">
        <v>83</v>
      </c>
      <c r="W250" s="8"/>
      <c r="X250" s="8" t="s">
        <v>84</v>
      </c>
      <c r="Y250" s="8"/>
      <c r="Z250" s="8" t="s">
        <v>85</v>
      </c>
      <c r="AA250" s="8"/>
      <c r="AB250" s="8" t="s">
        <v>86</v>
      </c>
      <c r="AC250" s="8"/>
      <c r="AD250" s="8" t="s">
        <v>87</v>
      </c>
      <c r="AE250" s="8"/>
      <c r="AF250" s="8" t="s">
        <v>88</v>
      </c>
      <c r="AG250" s="8"/>
      <c r="AH250" s="8" t="s">
        <v>89</v>
      </c>
      <c r="AI250" s="8"/>
      <c r="AJ250" s="8" t="s">
        <v>90</v>
      </c>
      <c r="AK250" s="8"/>
      <c r="AL250" s="8"/>
      <c r="AM250" s="8"/>
      <c r="AN250" s="8"/>
      <c r="AO250" s="7" t="s">
        <v>91</v>
      </c>
      <c r="AP250" s="7" t="s">
        <v>92</v>
      </c>
      <c r="AQ250" s="7" t="s">
        <v>93</v>
      </c>
      <c r="AR250" s="7"/>
      <c r="AS250" s="7"/>
      <c r="AT250" s="7"/>
      <c r="AU250" s="8"/>
      <c r="AV250" s="8"/>
      <c r="AW250" s="8"/>
      <c r="AX250" s="8"/>
      <c r="AY250" s="59"/>
    </row>
    <row r="251" customFormat="false" ht="27" hidden="false" customHeight="true" outlineLevel="0" collapsed="false">
      <c r="A251" s="7"/>
      <c r="B251" s="8"/>
      <c r="C251" s="7" t="s">
        <v>29</v>
      </c>
      <c r="D251" s="7" t="s">
        <v>30</v>
      </c>
      <c r="E251" s="7" t="s">
        <v>29</v>
      </c>
      <c r="F251" s="7" t="s">
        <v>30</v>
      </c>
      <c r="G251" s="7" t="s">
        <v>29</v>
      </c>
      <c r="H251" s="7" t="s">
        <v>30</v>
      </c>
      <c r="I251" s="8"/>
      <c r="J251" s="8"/>
      <c r="K251" s="8"/>
      <c r="L251" s="7" t="s">
        <v>29</v>
      </c>
      <c r="M251" s="7"/>
      <c r="N251" s="7" t="s">
        <v>94</v>
      </c>
      <c r="O251" s="7"/>
      <c r="P251" s="7" t="s">
        <v>95</v>
      </c>
      <c r="Q251" s="7"/>
      <c r="R251" s="7" t="s">
        <v>96</v>
      </c>
      <c r="S251" s="7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7"/>
      <c r="AP251" s="7"/>
      <c r="AQ251" s="7"/>
      <c r="AR251" s="60" t="s">
        <v>97</v>
      </c>
      <c r="AS251" s="60" t="s">
        <v>98</v>
      </c>
      <c r="AT251" s="60" t="s">
        <v>99</v>
      </c>
      <c r="AU251" s="8"/>
      <c r="AV251" s="8"/>
      <c r="AW251" s="8"/>
      <c r="AX251" s="8"/>
      <c r="AY251" s="59"/>
    </row>
    <row r="252" customFormat="false" ht="60.75" hidden="false" customHeight="true" outlineLevel="0" collapsed="false">
      <c r="A252" s="7"/>
      <c r="B252" s="8"/>
      <c r="C252" s="7"/>
      <c r="D252" s="7"/>
      <c r="E252" s="7"/>
      <c r="F252" s="7"/>
      <c r="G252" s="7"/>
      <c r="H252" s="7"/>
      <c r="I252" s="8"/>
      <c r="J252" s="8" t="s">
        <v>29</v>
      </c>
      <c r="K252" s="8" t="s">
        <v>30</v>
      </c>
      <c r="L252" s="8" t="s">
        <v>29</v>
      </c>
      <c r="M252" s="8" t="s">
        <v>30</v>
      </c>
      <c r="N252" s="8" t="s">
        <v>29</v>
      </c>
      <c r="O252" s="8" t="s">
        <v>30</v>
      </c>
      <c r="P252" s="8" t="s">
        <v>29</v>
      </c>
      <c r="Q252" s="8" t="s">
        <v>30</v>
      </c>
      <c r="R252" s="8" t="s">
        <v>29</v>
      </c>
      <c r="S252" s="8" t="s">
        <v>30</v>
      </c>
      <c r="T252" s="8" t="s">
        <v>29</v>
      </c>
      <c r="U252" s="8" t="s">
        <v>30</v>
      </c>
      <c r="V252" s="8" t="s">
        <v>29</v>
      </c>
      <c r="W252" s="8" t="s">
        <v>30</v>
      </c>
      <c r="X252" s="8" t="s">
        <v>29</v>
      </c>
      <c r="Y252" s="8" t="s">
        <v>30</v>
      </c>
      <c r="Z252" s="8" t="s">
        <v>29</v>
      </c>
      <c r="AA252" s="8" t="s">
        <v>30</v>
      </c>
      <c r="AB252" s="8" t="s">
        <v>29</v>
      </c>
      <c r="AC252" s="8" t="s">
        <v>30</v>
      </c>
      <c r="AD252" s="8" t="s">
        <v>29</v>
      </c>
      <c r="AE252" s="8" t="s">
        <v>30</v>
      </c>
      <c r="AF252" s="8" t="s">
        <v>29</v>
      </c>
      <c r="AG252" s="8" t="s">
        <v>30</v>
      </c>
      <c r="AH252" s="8" t="s">
        <v>29</v>
      </c>
      <c r="AI252" s="8" t="s">
        <v>30</v>
      </c>
      <c r="AJ252" s="8" t="s">
        <v>29</v>
      </c>
      <c r="AK252" s="8" t="s">
        <v>30</v>
      </c>
      <c r="AL252" s="8" t="s">
        <v>29</v>
      </c>
      <c r="AM252" s="8" t="s">
        <v>30</v>
      </c>
      <c r="AN252" s="8" t="s">
        <v>31</v>
      </c>
      <c r="AO252" s="7"/>
      <c r="AP252" s="7"/>
      <c r="AQ252" s="7"/>
      <c r="AR252" s="60"/>
      <c r="AS252" s="60"/>
      <c r="AT252" s="60"/>
      <c r="AU252" s="8"/>
      <c r="AV252" s="8"/>
      <c r="AW252" s="8"/>
      <c r="AX252" s="8"/>
      <c r="AY252" s="59"/>
    </row>
    <row r="253" customFormat="false" ht="13.5" hidden="false" customHeight="true" outlineLevel="0" collapsed="false">
      <c r="A253" s="22" t="n">
        <v>1</v>
      </c>
      <c r="B253" s="23" t="n">
        <v>2</v>
      </c>
      <c r="C253" s="24" t="n">
        <v>3</v>
      </c>
      <c r="D253" s="24"/>
      <c r="E253" s="24"/>
      <c r="F253" s="24"/>
      <c r="G253" s="24"/>
      <c r="H253" s="24"/>
      <c r="I253" s="61" t="n">
        <v>4</v>
      </c>
      <c r="J253" s="24" t="n">
        <v>5</v>
      </c>
      <c r="K253" s="24"/>
      <c r="L253" s="24" t="n">
        <v>6</v>
      </c>
      <c r="M253" s="24"/>
      <c r="N253" s="24"/>
      <c r="O253" s="24"/>
      <c r="P253" s="24" t="n">
        <v>7</v>
      </c>
      <c r="Q253" s="24"/>
      <c r="R253" s="24"/>
      <c r="S253" s="24"/>
      <c r="T253" s="24" t="n">
        <v>8</v>
      </c>
      <c r="U253" s="24"/>
      <c r="V253" s="24" t="n">
        <v>9</v>
      </c>
      <c r="W253" s="24"/>
      <c r="X253" s="24" t="n">
        <f aca="false">+V253+1</f>
        <v>10</v>
      </c>
      <c r="Y253" s="24"/>
      <c r="Z253" s="24" t="n">
        <f aca="false">+X253+1</f>
        <v>11</v>
      </c>
      <c r="AA253" s="24"/>
      <c r="AB253" s="24" t="n">
        <f aca="false">+Z253+1</f>
        <v>12</v>
      </c>
      <c r="AC253" s="24"/>
      <c r="AD253" s="24" t="n">
        <f aca="false">+AB253+1</f>
        <v>13</v>
      </c>
      <c r="AE253" s="24"/>
      <c r="AF253" s="24" t="n">
        <f aca="false">+AD253+1</f>
        <v>14</v>
      </c>
      <c r="AG253" s="24"/>
      <c r="AH253" s="24" t="n">
        <f aca="false">+AF253+1</f>
        <v>15</v>
      </c>
      <c r="AI253" s="24"/>
      <c r="AJ253" s="24" t="n">
        <f aca="false">+AH253+1</f>
        <v>16</v>
      </c>
      <c r="AK253" s="24"/>
      <c r="AL253" s="24" t="n">
        <f aca="false">+AJ253+1</f>
        <v>17</v>
      </c>
      <c r="AM253" s="24"/>
      <c r="AN253" s="24"/>
      <c r="AO253" s="23" t="n">
        <v>18</v>
      </c>
      <c r="AP253" s="23"/>
      <c r="AQ253" s="23"/>
      <c r="AR253" s="62" t="n">
        <v>19</v>
      </c>
      <c r="AS253" s="62"/>
      <c r="AT253" s="62"/>
      <c r="AU253" s="63" t="n">
        <v>20</v>
      </c>
      <c r="AV253" s="24" t="n">
        <v>21</v>
      </c>
      <c r="AW253" s="24" t="n">
        <v>22</v>
      </c>
      <c r="AX253" s="24" t="n">
        <v>23</v>
      </c>
      <c r="AY253" s="23" t="n">
        <v>24</v>
      </c>
      <c r="AZ253" s="64"/>
    </row>
    <row r="254" customFormat="false" ht="32.25" hidden="false" customHeight="true" outlineLevel="0" collapsed="false">
      <c r="A254" s="27" t="n">
        <v>1</v>
      </c>
      <c r="B254" s="69" t="s">
        <v>42</v>
      </c>
      <c r="C254" s="70" t="n">
        <v>443</v>
      </c>
      <c r="D254" s="70" t="n">
        <v>437</v>
      </c>
      <c r="E254" s="71" t="n">
        <v>272</v>
      </c>
      <c r="F254" s="71" t="n">
        <v>276</v>
      </c>
      <c r="G254" s="71" t="n">
        <v>17</v>
      </c>
      <c r="H254" s="71" t="n">
        <v>18</v>
      </c>
      <c r="I254" s="31" t="n">
        <f aca="false">E254+F254+G254+H254</f>
        <v>583</v>
      </c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21" t="n">
        <f aca="false">J254+L254+N254+P254+R254+T254+V254+X254+Z254+AB254+AD254+AF254+AH254+AJ254</f>
        <v>0</v>
      </c>
      <c r="AM254" s="21" t="n">
        <f aca="false">J254+L254+N254+P254+R254+T254+V254+X254+Z254+AB254+AD254+AF254+AH254+AJ254</f>
        <v>0</v>
      </c>
      <c r="AN254" s="21" t="n">
        <f aca="false">AL254+AM254</f>
        <v>0</v>
      </c>
      <c r="AO254" s="10"/>
      <c r="AP254" s="10"/>
      <c r="AQ254" s="10"/>
      <c r="AR254" s="65"/>
      <c r="AS254" s="65"/>
      <c r="AT254" s="65"/>
      <c r="AU254" s="10"/>
      <c r="AV254" s="10"/>
      <c r="AW254" s="10"/>
      <c r="AX254" s="10"/>
      <c r="AY254" s="66"/>
      <c r="AZ254" s="41"/>
    </row>
    <row r="255" customFormat="false" ht="32.25" hidden="false" customHeight="true" outlineLevel="0" collapsed="false">
      <c r="A255" s="27" t="n">
        <v>2</v>
      </c>
      <c r="B255" s="69" t="s">
        <v>43</v>
      </c>
      <c r="C255" s="70" t="n">
        <v>255</v>
      </c>
      <c r="D255" s="70" t="n">
        <v>252</v>
      </c>
      <c r="E255" s="71" t="n">
        <v>163</v>
      </c>
      <c r="F255" s="71" t="n">
        <v>169</v>
      </c>
      <c r="G255" s="71" t="n">
        <v>64</v>
      </c>
      <c r="H255" s="71" t="n">
        <v>63</v>
      </c>
      <c r="I255" s="31" t="n">
        <f aca="false">E255+F255+G255+H255</f>
        <v>459</v>
      </c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21" t="n">
        <f aca="false">J255+L255+N255+P255+R255+T255+V255+X255+Z255+AB255+AD255+AF255+AH255+AJ255</f>
        <v>0</v>
      </c>
      <c r="AM255" s="21" t="n">
        <f aca="false">J255+L255+N255+P255+R255+T255+V255+X255+Z255+AB255+AD255+AF255+AH255+AJ255</f>
        <v>0</v>
      </c>
      <c r="AN255" s="21" t="n">
        <f aca="false">AL255+AM255</f>
        <v>0</v>
      </c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66"/>
      <c r="AZ255" s="41"/>
    </row>
    <row r="256" customFormat="false" ht="32.25" hidden="false" customHeight="true" outlineLevel="0" collapsed="false">
      <c r="A256" s="27" t="n">
        <v>3</v>
      </c>
      <c r="B256" s="69" t="s">
        <v>100</v>
      </c>
      <c r="C256" s="70" t="n">
        <v>315</v>
      </c>
      <c r="D256" s="70" t="n">
        <v>312</v>
      </c>
      <c r="E256" s="71" t="n">
        <v>198</v>
      </c>
      <c r="F256" s="71" t="n">
        <v>202</v>
      </c>
      <c r="G256" s="71" t="n">
        <v>52</v>
      </c>
      <c r="H256" s="71" t="n">
        <v>55</v>
      </c>
      <c r="I256" s="31" t="n">
        <f aca="false">E256+F256+G256+H256</f>
        <v>507</v>
      </c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21" t="n">
        <f aca="false">J256+L256+N256+P256+R256+T256+V256+X256+Z256+AB256+AD256+AF256+AH256+AJ256</f>
        <v>0</v>
      </c>
      <c r="AM256" s="21" t="n">
        <f aca="false">J256+L256+N256+P256+R256+T256+V256+X256+Z256+AB256+AD256+AF256+AH256+AJ256</f>
        <v>0</v>
      </c>
      <c r="AN256" s="21" t="n">
        <f aca="false">AL256+AM256</f>
        <v>0</v>
      </c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59"/>
      <c r="AZ256" s="41"/>
    </row>
    <row r="257" customFormat="false" ht="32.25" hidden="false" customHeight="true" outlineLevel="0" collapsed="false">
      <c r="A257" s="27" t="n">
        <v>4</v>
      </c>
      <c r="B257" s="69" t="s">
        <v>101</v>
      </c>
      <c r="C257" s="70" t="n">
        <v>201</v>
      </c>
      <c r="D257" s="70" t="n">
        <v>199</v>
      </c>
      <c r="E257" s="71" t="n">
        <v>121</v>
      </c>
      <c r="F257" s="71" t="n">
        <v>125</v>
      </c>
      <c r="G257" s="71" t="n">
        <v>26</v>
      </c>
      <c r="H257" s="71" t="n">
        <v>33</v>
      </c>
      <c r="I257" s="31" t="n">
        <f aca="false">E257+F257+G257+H257</f>
        <v>305</v>
      </c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21" t="n">
        <f aca="false">J257+L257+N257+P257+R257+T257+V257+X257+Z257+AB257+AD257+AF257+AH257+AJ257</f>
        <v>0</v>
      </c>
      <c r="AM257" s="21" t="n">
        <f aca="false">J257+L257+N257+P257+R257+T257+V257+X257+Z257+AB257+AD257+AF257+AH257+AJ257</f>
        <v>0</v>
      </c>
      <c r="AN257" s="21" t="n">
        <f aca="false">AL257+AM257</f>
        <v>0</v>
      </c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66"/>
      <c r="AZ257" s="41"/>
    </row>
    <row r="258" customFormat="false" ht="32.25" hidden="false" customHeight="true" outlineLevel="0" collapsed="false">
      <c r="A258" s="27" t="n">
        <v>5</v>
      </c>
      <c r="B258" s="69" t="s">
        <v>102</v>
      </c>
      <c r="C258" s="70" t="n">
        <v>238</v>
      </c>
      <c r="D258" s="70" t="n">
        <v>239</v>
      </c>
      <c r="E258" s="71" t="n">
        <v>95</v>
      </c>
      <c r="F258" s="71" t="n">
        <v>114</v>
      </c>
      <c r="G258" s="71" t="n">
        <v>55</v>
      </c>
      <c r="H258" s="71" t="n">
        <v>67</v>
      </c>
      <c r="I258" s="31" t="n">
        <f aca="false">SUM(E258:H258)</f>
        <v>331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21" t="n">
        <f aca="false">J258+L258+N258+P258+R258+T258+V258+X258+Z258+AB258+AD258+AF258+AH258+AJ258</f>
        <v>0</v>
      </c>
      <c r="AM258" s="21" t="n">
        <f aca="false">J258+L258+N258+P258+R258+T258+V258+X258+Z258+AB258+AD258+AF258+AH258+AJ258</f>
        <v>0</v>
      </c>
      <c r="AN258" s="21" t="n">
        <f aca="false">AL258+AM258</f>
        <v>0</v>
      </c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66"/>
      <c r="AZ258" s="41"/>
    </row>
    <row r="259" customFormat="false" ht="36.75" hidden="false" customHeight="true" outlineLevel="0" collapsed="false">
      <c r="A259" s="27" t="n">
        <v>6</v>
      </c>
      <c r="B259" s="69" t="s">
        <v>47</v>
      </c>
      <c r="C259" s="70" t="n">
        <v>199</v>
      </c>
      <c r="D259" s="70" t="n">
        <v>197</v>
      </c>
      <c r="E259" s="71" t="n">
        <v>125</v>
      </c>
      <c r="F259" s="71" t="n">
        <v>126</v>
      </c>
      <c r="G259" s="71" t="n">
        <v>23</v>
      </c>
      <c r="H259" s="71" t="n">
        <v>29</v>
      </c>
      <c r="I259" s="31" t="n">
        <f aca="false">E259+F259+G259+H259</f>
        <v>303</v>
      </c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21" t="n">
        <f aca="false">J259+L259+N259+P259+R259+T259+V259+X259+Z259+AB259+AD259+AF259+AH259+AJ259</f>
        <v>0</v>
      </c>
      <c r="AM259" s="21" t="n">
        <f aca="false">J259+L259+N259+P259+R259+T259+V259+X259+Z259+AB259+AD259+AF259+AH259+AJ259</f>
        <v>0</v>
      </c>
      <c r="AN259" s="21" t="n">
        <f aca="false">AL259+AM259</f>
        <v>0</v>
      </c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66"/>
      <c r="AZ259" s="46"/>
    </row>
    <row r="260" customFormat="false" ht="15.75" hidden="false" customHeight="false" outlineLevel="0" collapsed="false">
      <c r="A260" s="15" t="s">
        <v>48</v>
      </c>
      <c r="B260" s="15"/>
      <c r="C260" s="31" t="n">
        <f aca="false">SUM(C254:C259)</f>
        <v>1651</v>
      </c>
      <c r="D260" s="31" t="n">
        <f aca="false">SUM(D254:D259)</f>
        <v>1636</v>
      </c>
      <c r="E260" s="31" t="n">
        <f aca="false">SUM(E254:E259)</f>
        <v>974</v>
      </c>
      <c r="F260" s="31" t="n">
        <f aca="false">SUM(F254:F259)</f>
        <v>1012</v>
      </c>
      <c r="G260" s="31" t="n">
        <f aca="false">SUM(G254:G259)</f>
        <v>237</v>
      </c>
      <c r="H260" s="31" t="n">
        <f aca="false">SUM(H254:H259)</f>
        <v>265</v>
      </c>
      <c r="I260" s="31" t="n">
        <f aca="false">SUM(I254:I259)</f>
        <v>2488</v>
      </c>
      <c r="J260" s="21" t="n">
        <f aca="false">SUM(J254:J259)</f>
        <v>0</v>
      </c>
      <c r="K260" s="21" t="n">
        <f aca="false">SUM(K254:K259)</f>
        <v>0</v>
      </c>
      <c r="L260" s="21" t="n">
        <f aca="false">SUM(L254:L259)</f>
        <v>0</v>
      </c>
      <c r="M260" s="21" t="n">
        <f aca="false">SUM(M254:M259)</f>
        <v>0</v>
      </c>
      <c r="N260" s="21" t="n">
        <f aca="false">SUM(N254:N259)</f>
        <v>0</v>
      </c>
      <c r="O260" s="21" t="n">
        <f aca="false">SUM(O254:O259)</f>
        <v>0</v>
      </c>
      <c r="P260" s="21" t="n">
        <f aca="false">SUM(P254:P259)</f>
        <v>0</v>
      </c>
      <c r="Q260" s="21" t="n">
        <f aca="false">SUM(Q254:Q259)</f>
        <v>0</v>
      </c>
      <c r="R260" s="21" t="n">
        <f aca="false">SUM(R254:R259)</f>
        <v>0</v>
      </c>
      <c r="S260" s="21" t="n">
        <f aca="false">SUM(S254:S259)</f>
        <v>0</v>
      </c>
      <c r="T260" s="21" t="n">
        <f aca="false">SUM(T254:T259)</f>
        <v>0</v>
      </c>
      <c r="U260" s="21" t="n">
        <f aca="false">SUM(U254:U259)</f>
        <v>0</v>
      </c>
      <c r="V260" s="21" t="n">
        <f aca="false">SUM(V254:V259)</f>
        <v>0</v>
      </c>
      <c r="W260" s="21" t="n">
        <f aca="false">SUM(W254:W259)</f>
        <v>0</v>
      </c>
      <c r="X260" s="21" t="n">
        <f aca="false">SUM(X254:X259)</f>
        <v>0</v>
      </c>
      <c r="Y260" s="21" t="n">
        <f aca="false">SUM(Y254:Y259)</f>
        <v>0</v>
      </c>
      <c r="Z260" s="21" t="n">
        <f aca="false">SUM(Z254:Z259)</f>
        <v>0</v>
      </c>
      <c r="AA260" s="21" t="n">
        <f aca="false">SUM(AA254:AA259)</f>
        <v>0</v>
      </c>
      <c r="AB260" s="21" t="n">
        <f aca="false">SUM(AB254:AB259)</f>
        <v>0</v>
      </c>
      <c r="AC260" s="21" t="n">
        <f aca="false">SUM(AC254:AC259)</f>
        <v>0</v>
      </c>
      <c r="AD260" s="21" t="n">
        <f aca="false">SUM(AD254:AD259)</f>
        <v>0</v>
      </c>
      <c r="AE260" s="21" t="n">
        <f aca="false">SUM(AE254:AE259)</f>
        <v>0</v>
      </c>
      <c r="AF260" s="21" t="n">
        <f aca="false">SUM(AF254:AF259)</f>
        <v>0</v>
      </c>
      <c r="AG260" s="21" t="n">
        <f aca="false">SUM(AG254:AG259)</f>
        <v>0</v>
      </c>
      <c r="AH260" s="21" t="n">
        <f aca="false">SUM(AH254:AH259)</f>
        <v>0</v>
      </c>
      <c r="AI260" s="21" t="n">
        <f aca="false">SUM(AI254:AI259)</f>
        <v>0</v>
      </c>
      <c r="AJ260" s="21" t="n">
        <f aca="false">SUM(AJ254:AJ259)</f>
        <v>0</v>
      </c>
      <c r="AK260" s="21" t="n">
        <f aca="false">SUM(AK254:AK259)</f>
        <v>0</v>
      </c>
      <c r="AL260" s="21" t="n">
        <f aca="false">SUM(AL254:AL259)</f>
        <v>0</v>
      </c>
      <c r="AM260" s="21" t="n">
        <f aca="false">SUM(AM254:AM259)</f>
        <v>0</v>
      </c>
      <c r="AN260" s="21" t="n">
        <f aca="false">SUM(AN254:AN259)</f>
        <v>0</v>
      </c>
      <c r="AO260" s="21" t="n">
        <f aca="false">SUM(AO254:AO259)</f>
        <v>0</v>
      </c>
      <c r="AP260" s="21" t="n">
        <f aca="false">SUM(AP254:AP259)</f>
        <v>0</v>
      </c>
      <c r="AQ260" s="21" t="n">
        <f aca="false">SUM(AQ254:AQ259)</f>
        <v>0</v>
      </c>
      <c r="AR260" s="21" t="n">
        <f aca="false">SUM(AR254:AR259)</f>
        <v>0</v>
      </c>
      <c r="AS260" s="21" t="n">
        <f aca="false">SUM(AS254:AS259)</f>
        <v>0</v>
      </c>
      <c r="AT260" s="21" t="n">
        <f aca="false">SUM(AT254:AT259)</f>
        <v>0</v>
      </c>
      <c r="AU260" s="21" t="n">
        <f aca="false">SUM(AU254:AU259)</f>
        <v>0</v>
      </c>
      <c r="AV260" s="21" t="n">
        <f aca="false">SUM(AV254:AV259)</f>
        <v>0</v>
      </c>
      <c r="AW260" s="21" t="n">
        <f aca="false">SUM(AW254:AW259)</f>
        <v>0</v>
      </c>
      <c r="AX260" s="21" t="n">
        <f aca="false">SUM(AX254:AX259)</f>
        <v>0</v>
      </c>
      <c r="AY260" s="67" t="n">
        <f aca="false">SUM(AY254:AY259)</f>
        <v>0</v>
      </c>
    </row>
    <row r="261" customFormat="false" ht="15.75" hidden="false" customHeight="false" outlineLevel="0" collapsed="false">
      <c r="AS261" s="54"/>
      <c r="AT261" s="55" t="s">
        <v>104</v>
      </c>
      <c r="AU261" s="55"/>
      <c r="AV261" s="55"/>
    </row>
  </sheetData>
  <mergeCells count="753">
    <mergeCell ref="A7:A10"/>
    <mergeCell ref="B7:B10"/>
    <mergeCell ref="C7:G7"/>
    <mergeCell ref="J7:AK7"/>
    <mergeCell ref="AL7:AN9"/>
    <mergeCell ref="AO7:AQ7"/>
    <mergeCell ref="AR7:AT8"/>
    <mergeCell ref="AU7:AU10"/>
    <mergeCell ref="AV7:AV10"/>
    <mergeCell ref="AW7:AW10"/>
    <mergeCell ref="AX7:AX10"/>
    <mergeCell ref="AY7:AY10"/>
    <mergeCell ref="C8:D8"/>
    <mergeCell ref="E8:F8"/>
    <mergeCell ref="G8:H8"/>
    <mergeCell ref="I8:I10"/>
    <mergeCell ref="J8:K9"/>
    <mergeCell ref="L8:O8"/>
    <mergeCell ref="P8:S8"/>
    <mergeCell ref="T8:U9"/>
    <mergeCell ref="V8:W9"/>
    <mergeCell ref="X8:Y9"/>
    <mergeCell ref="Z8:AA9"/>
    <mergeCell ref="AB8:AC9"/>
    <mergeCell ref="AD8:AE9"/>
    <mergeCell ref="AF8:AG9"/>
    <mergeCell ref="AH8:AI9"/>
    <mergeCell ref="AJ8:AK9"/>
    <mergeCell ref="AO8:AO10"/>
    <mergeCell ref="AP8:AP10"/>
    <mergeCell ref="AQ8:AQ10"/>
    <mergeCell ref="C9:C10"/>
    <mergeCell ref="D9:D10"/>
    <mergeCell ref="E9:E10"/>
    <mergeCell ref="F9:F10"/>
    <mergeCell ref="G9:G10"/>
    <mergeCell ref="H9:H10"/>
    <mergeCell ref="L9:M9"/>
    <mergeCell ref="N9:O9"/>
    <mergeCell ref="P9:Q9"/>
    <mergeCell ref="R9:S9"/>
    <mergeCell ref="AR9:AR10"/>
    <mergeCell ref="AS9:AS10"/>
    <mergeCell ref="AT9:AT10"/>
    <mergeCell ref="C11:H11"/>
    <mergeCell ref="J11:K11"/>
    <mergeCell ref="L11:O11"/>
    <mergeCell ref="P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N11"/>
    <mergeCell ref="AO11:AQ11"/>
    <mergeCell ref="AR11:AT11"/>
    <mergeCell ref="A18:B18"/>
    <mergeCell ref="A29:A32"/>
    <mergeCell ref="B29:B32"/>
    <mergeCell ref="C29:G29"/>
    <mergeCell ref="J29:AK29"/>
    <mergeCell ref="AL29:AN31"/>
    <mergeCell ref="AO29:AQ29"/>
    <mergeCell ref="AR29:AT30"/>
    <mergeCell ref="AU29:AU32"/>
    <mergeCell ref="AV29:AV32"/>
    <mergeCell ref="AW29:AW32"/>
    <mergeCell ref="AX29:AX32"/>
    <mergeCell ref="AY29:AY32"/>
    <mergeCell ref="C30:D30"/>
    <mergeCell ref="E30:F30"/>
    <mergeCell ref="G30:H30"/>
    <mergeCell ref="I30:I32"/>
    <mergeCell ref="J30:K31"/>
    <mergeCell ref="L30:O30"/>
    <mergeCell ref="P30:S30"/>
    <mergeCell ref="T30:U31"/>
    <mergeCell ref="V30:W31"/>
    <mergeCell ref="X30:Y31"/>
    <mergeCell ref="Z30:AA31"/>
    <mergeCell ref="AB30:AC31"/>
    <mergeCell ref="AD30:AE31"/>
    <mergeCell ref="AF30:AG31"/>
    <mergeCell ref="AH30:AI31"/>
    <mergeCell ref="AJ30:AK31"/>
    <mergeCell ref="AO30:AO32"/>
    <mergeCell ref="AP30:AP32"/>
    <mergeCell ref="AQ30:AQ32"/>
    <mergeCell ref="C31:C32"/>
    <mergeCell ref="D31:D32"/>
    <mergeCell ref="E31:E32"/>
    <mergeCell ref="F31:F32"/>
    <mergeCell ref="G31:G32"/>
    <mergeCell ref="H31:H32"/>
    <mergeCell ref="L31:M31"/>
    <mergeCell ref="N31:O31"/>
    <mergeCell ref="P31:Q31"/>
    <mergeCell ref="R31:S31"/>
    <mergeCell ref="AR31:AR32"/>
    <mergeCell ref="AS31:AS32"/>
    <mergeCell ref="AT31:AT32"/>
    <mergeCell ref="C33:H33"/>
    <mergeCell ref="J33:K33"/>
    <mergeCell ref="L33:O33"/>
    <mergeCell ref="P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N33"/>
    <mergeCell ref="AO33:AQ33"/>
    <mergeCell ref="AR33:AT33"/>
    <mergeCell ref="A40:B40"/>
    <mergeCell ref="AT41:AV41"/>
    <mergeCell ref="C42:I42"/>
    <mergeCell ref="A51:A54"/>
    <mergeCell ref="B51:B54"/>
    <mergeCell ref="C51:G51"/>
    <mergeCell ref="J51:AK51"/>
    <mergeCell ref="AL51:AN53"/>
    <mergeCell ref="AO51:AQ51"/>
    <mergeCell ref="AR51:AT52"/>
    <mergeCell ref="AU51:AU54"/>
    <mergeCell ref="AV51:AV54"/>
    <mergeCell ref="AW51:AW54"/>
    <mergeCell ref="AX51:AX54"/>
    <mergeCell ref="AY51:AY54"/>
    <mergeCell ref="C52:D52"/>
    <mergeCell ref="E52:F52"/>
    <mergeCell ref="G52:H52"/>
    <mergeCell ref="I52:I54"/>
    <mergeCell ref="J52:K53"/>
    <mergeCell ref="L52:O52"/>
    <mergeCell ref="P52:S52"/>
    <mergeCell ref="T52:U53"/>
    <mergeCell ref="V52:W53"/>
    <mergeCell ref="X52:Y53"/>
    <mergeCell ref="Z52:AA53"/>
    <mergeCell ref="AB52:AC53"/>
    <mergeCell ref="AD52:AE53"/>
    <mergeCell ref="AF52:AG53"/>
    <mergeCell ref="AH52:AI53"/>
    <mergeCell ref="AJ52:AK53"/>
    <mergeCell ref="AO52:AO54"/>
    <mergeCell ref="AP52:AP54"/>
    <mergeCell ref="AQ52:AQ54"/>
    <mergeCell ref="C53:C54"/>
    <mergeCell ref="D53:D54"/>
    <mergeCell ref="E53:E54"/>
    <mergeCell ref="F53:F54"/>
    <mergeCell ref="G53:G54"/>
    <mergeCell ref="H53:H54"/>
    <mergeCell ref="L53:M53"/>
    <mergeCell ref="N53:O53"/>
    <mergeCell ref="P53:Q53"/>
    <mergeCell ref="R53:S53"/>
    <mergeCell ref="AR53:AR54"/>
    <mergeCell ref="AS53:AS54"/>
    <mergeCell ref="AT53:AT54"/>
    <mergeCell ref="C55:H55"/>
    <mergeCell ref="J55:K55"/>
    <mergeCell ref="L55:O55"/>
    <mergeCell ref="P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N55"/>
    <mergeCell ref="AO55:AQ55"/>
    <mergeCell ref="AR55:AT55"/>
    <mergeCell ref="A62:B62"/>
    <mergeCell ref="AT63:AV63"/>
    <mergeCell ref="C64:I64"/>
    <mergeCell ref="A73:A76"/>
    <mergeCell ref="B73:B76"/>
    <mergeCell ref="C73:G73"/>
    <mergeCell ref="J73:AK73"/>
    <mergeCell ref="AL73:AN75"/>
    <mergeCell ref="AO73:AQ73"/>
    <mergeCell ref="AR73:AT74"/>
    <mergeCell ref="AU73:AU76"/>
    <mergeCell ref="AV73:AV76"/>
    <mergeCell ref="AW73:AW76"/>
    <mergeCell ref="AX73:AX76"/>
    <mergeCell ref="AY73:AY76"/>
    <mergeCell ref="C74:D74"/>
    <mergeCell ref="E74:F74"/>
    <mergeCell ref="G74:H74"/>
    <mergeCell ref="I74:I76"/>
    <mergeCell ref="J74:K75"/>
    <mergeCell ref="L74:O74"/>
    <mergeCell ref="P74:S74"/>
    <mergeCell ref="T74:U75"/>
    <mergeCell ref="V74:W75"/>
    <mergeCell ref="X74:Y75"/>
    <mergeCell ref="Z74:AA75"/>
    <mergeCell ref="AB74:AC75"/>
    <mergeCell ref="AD74:AE75"/>
    <mergeCell ref="AF74:AG75"/>
    <mergeCell ref="AH74:AI75"/>
    <mergeCell ref="AJ74:AK75"/>
    <mergeCell ref="AO74:AO76"/>
    <mergeCell ref="AP74:AP76"/>
    <mergeCell ref="AQ74:AQ76"/>
    <mergeCell ref="C75:C76"/>
    <mergeCell ref="D75:D76"/>
    <mergeCell ref="E75:E76"/>
    <mergeCell ref="F75:F76"/>
    <mergeCell ref="G75:G76"/>
    <mergeCell ref="H75:H76"/>
    <mergeCell ref="L75:M75"/>
    <mergeCell ref="N75:O75"/>
    <mergeCell ref="P75:Q75"/>
    <mergeCell ref="R75:S75"/>
    <mergeCell ref="AR75:AR76"/>
    <mergeCell ref="AS75:AS76"/>
    <mergeCell ref="AT75:AT76"/>
    <mergeCell ref="C77:H77"/>
    <mergeCell ref="J77:K77"/>
    <mergeCell ref="L77:O77"/>
    <mergeCell ref="P77:S77"/>
    <mergeCell ref="T77:U77"/>
    <mergeCell ref="V77:W77"/>
    <mergeCell ref="X77:Y77"/>
    <mergeCell ref="Z77:AA77"/>
    <mergeCell ref="AB77:AC77"/>
    <mergeCell ref="AD77:AE77"/>
    <mergeCell ref="AF77:AG77"/>
    <mergeCell ref="AH77:AI77"/>
    <mergeCell ref="AJ77:AK77"/>
    <mergeCell ref="AL77:AN77"/>
    <mergeCell ref="AO77:AQ77"/>
    <mergeCell ref="AR77:AT77"/>
    <mergeCell ref="A84:B84"/>
    <mergeCell ref="AT85:AV85"/>
    <mergeCell ref="C86:I86"/>
    <mergeCell ref="A95:A98"/>
    <mergeCell ref="B95:B98"/>
    <mergeCell ref="C95:G95"/>
    <mergeCell ref="J95:AK95"/>
    <mergeCell ref="AL95:AN97"/>
    <mergeCell ref="AO95:AQ95"/>
    <mergeCell ref="AR95:AT96"/>
    <mergeCell ref="AU95:AU98"/>
    <mergeCell ref="AV95:AV98"/>
    <mergeCell ref="AW95:AW98"/>
    <mergeCell ref="AX95:AX98"/>
    <mergeCell ref="AY95:AY98"/>
    <mergeCell ref="C96:D96"/>
    <mergeCell ref="E96:F96"/>
    <mergeCell ref="G96:H96"/>
    <mergeCell ref="I96:I98"/>
    <mergeCell ref="J96:K97"/>
    <mergeCell ref="L96:O96"/>
    <mergeCell ref="P96:S96"/>
    <mergeCell ref="T96:U97"/>
    <mergeCell ref="V96:W97"/>
    <mergeCell ref="X96:Y97"/>
    <mergeCell ref="Z96:AA97"/>
    <mergeCell ref="AB96:AC97"/>
    <mergeCell ref="AD96:AE97"/>
    <mergeCell ref="AF96:AG97"/>
    <mergeCell ref="AH96:AI97"/>
    <mergeCell ref="AJ96:AK97"/>
    <mergeCell ref="AO96:AO98"/>
    <mergeCell ref="AP96:AP98"/>
    <mergeCell ref="AQ96:AQ98"/>
    <mergeCell ref="C97:C98"/>
    <mergeCell ref="D97:D98"/>
    <mergeCell ref="E97:E98"/>
    <mergeCell ref="F97:F98"/>
    <mergeCell ref="G97:G98"/>
    <mergeCell ref="H97:H98"/>
    <mergeCell ref="L97:M97"/>
    <mergeCell ref="N97:O97"/>
    <mergeCell ref="P97:Q97"/>
    <mergeCell ref="R97:S97"/>
    <mergeCell ref="AR97:AR98"/>
    <mergeCell ref="AS97:AS98"/>
    <mergeCell ref="AT97:AT98"/>
    <mergeCell ref="C99:H99"/>
    <mergeCell ref="J99:K99"/>
    <mergeCell ref="L99:O99"/>
    <mergeCell ref="P99:S99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AJ99:AK99"/>
    <mergeCell ref="AL99:AN99"/>
    <mergeCell ref="AO99:AQ99"/>
    <mergeCell ref="AR99:AT99"/>
    <mergeCell ref="A106:B106"/>
    <mergeCell ref="AT107:AV107"/>
    <mergeCell ref="C108:I108"/>
    <mergeCell ref="A117:A120"/>
    <mergeCell ref="B117:B120"/>
    <mergeCell ref="C117:G117"/>
    <mergeCell ref="J117:AK117"/>
    <mergeCell ref="AL117:AN119"/>
    <mergeCell ref="AO117:AQ117"/>
    <mergeCell ref="AR117:AT118"/>
    <mergeCell ref="AU117:AU120"/>
    <mergeCell ref="AV117:AV120"/>
    <mergeCell ref="AW117:AW120"/>
    <mergeCell ref="AX117:AX120"/>
    <mergeCell ref="AY117:AY120"/>
    <mergeCell ref="C118:D118"/>
    <mergeCell ref="E118:F118"/>
    <mergeCell ref="G118:H118"/>
    <mergeCell ref="I118:I120"/>
    <mergeCell ref="J118:K119"/>
    <mergeCell ref="L118:O118"/>
    <mergeCell ref="P118:S118"/>
    <mergeCell ref="T118:U119"/>
    <mergeCell ref="V118:W119"/>
    <mergeCell ref="X118:Y119"/>
    <mergeCell ref="Z118:AA119"/>
    <mergeCell ref="AB118:AC119"/>
    <mergeCell ref="AD118:AE119"/>
    <mergeCell ref="AF118:AG119"/>
    <mergeCell ref="AH118:AI119"/>
    <mergeCell ref="AJ118:AK119"/>
    <mergeCell ref="AO118:AO120"/>
    <mergeCell ref="AP118:AP120"/>
    <mergeCell ref="AQ118:AQ120"/>
    <mergeCell ref="C119:C120"/>
    <mergeCell ref="D119:D120"/>
    <mergeCell ref="E119:E120"/>
    <mergeCell ref="F119:F120"/>
    <mergeCell ref="G119:G120"/>
    <mergeCell ref="H119:H120"/>
    <mergeCell ref="L119:M119"/>
    <mergeCell ref="N119:O119"/>
    <mergeCell ref="P119:Q119"/>
    <mergeCell ref="R119:S119"/>
    <mergeCell ref="AR119:AR120"/>
    <mergeCell ref="AS119:AS120"/>
    <mergeCell ref="AT119:AT120"/>
    <mergeCell ref="C121:H121"/>
    <mergeCell ref="J121:K121"/>
    <mergeCell ref="L121:O121"/>
    <mergeCell ref="P121:S121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AJ121:AK121"/>
    <mergeCell ref="AL121:AN121"/>
    <mergeCell ref="AO121:AQ121"/>
    <mergeCell ref="AR121:AT121"/>
    <mergeCell ref="A128:B128"/>
    <mergeCell ref="AT129:AV129"/>
    <mergeCell ref="C130:I130"/>
    <mergeCell ref="A139:A142"/>
    <mergeCell ref="B139:B142"/>
    <mergeCell ref="C139:G139"/>
    <mergeCell ref="J139:AK139"/>
    <mergeCell ref="AL139:AN141"/>
    <mergeCell ref="AO139:AQ139"/>
    <mergeCell ref="AR139:AT140"/>
    <mergeCell ref="AU139:AU142"/>
    <mergeCell ref="AV139:AV142"/>
    <mergeCell ref="AW139:AW142"/>
    <mergeCell ref="AX139:AX142"/>
    <mergeCell ref="AY139:AY142"/>
    <mergeCell ref="C140:D140"/>
    <mergeCell ref="E140:F140"/>
    <mergeCell ref="G140:H140"/>
    <mergeCell ref="I140:I142"/>
    <mergeCell ref="J140:K141"/>
    <mergeCell ref="L140:O140"/>
    <mergeCell ref="P140:S140"/>
    <mergeCell ref="T140:U141"/>
    <mergeCell ref="V140:W141"/>
    <mergeCell ref="X140:Y141"/>
    <mergeCell ref="Z140:AA141"/>
    <mergeCell ref="AB140:AC141"/>
    <mergeCell ref="AD140:AE141"/>
    <mergeCell ref="AF140:AG141"/>
    <mergeCell ref="AH140:AI141"/>
    <mergeCell ref="AJ140:AK141"/>
    <mergeCell ref="AO140:AO142"/>
    <mergeCell ref="AP140:AP142"/>
    <mergeCell ref="AQ140:AQ142"/>
    <mergeCell ref="C141:C142"/>
    <mergeCell ref="D141:D142"/>
    <mergeCell ref="E141:E142"/>
    <mergeCell ref="F141:F142"/>
    <mergeCell ref="G141:G142"/>
    <mergeCell ref="H141:H142"/>
    <mergeCell ref="L141:M141"/>
    <mergeCell ref="N141:O141"/>
    <mergeCell ref="P141:Q141"/>
    <mergeCell ref="R141:S141"/>
    <mergeCell ref="AR141:AR142"/>
    <mergeCell ref="AS141:AS142"/>
    <mergeCell ref="AT141:AT142"/>
    <mergeCell ref="C143:H143"/>
    <mergeCell ref="J143:K143"/>
    <mergeCell ref="L143:O143"/>
    <mergeCell ref="P143:S143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AJ143:AK143"/>
    <mergeCell ref="AL143:AN143"/>
    <mergeCell ref="AO143:AQ143"/>
    <mergeCell ref="AR143:AT143"/>
    <mergeCell ref="A150:B150"/>
    <mergeCell ref="AT151:AV151"/>
    <mergeCell ref="C152:I152"/>
    <mergeCell ref="A161:A164"/>
    <mergeCell ref="B161:B164"/>
    <mergeCell ref="C161:G161"/>
    <mergeCell ref="J161:AK161"/>
    <mergeCell ref="AL161:AN163"/>
    <mergeCell ref="AO161:AQ161"/>
    <mergeCell ref="AR161:AT162"/>
    <mergeCell ref="AU161:AU164"/>
    <mergeCell ref="AV161:AV164"/>
    <mergeCell ref="AW161:AW164"/>
    <mergeCell ref="AX161:AX164"/>
    <mergeCell ref="AY161:AY164"/>
    <mergeCell ref="C162:D162"/>
    <mergeCell ref="E162:F162"/>
    <mergeCell ref="G162:H162"/>
    <mergeCell ref="I162:I164"/>
    <mergeCell ref="J162:K163"/>
    <mergeCell ref="L162:O162"/>
    <mergeCell ref="P162:S162"/>
    <mergeCell ref="T162:U163"/>
    <mergeCell ref="V162:W163"/>
    <mergeCell ref="X162:Y163"/>
    <mergeCell ref="Z162:AA163"/>
    <mergeCell ref="AB162:AC163"/>
    <mergeCell ref="AD162:AE163"/>
    <mergeCell ref="AF162:AG163"/>
    <mergeCell ref="AH162:AI163"/>
    <mergeCell ref="AJ162:AK163"/>
    <mergeCell ref="AO162:AO164"/>
    <mergeCell ref="AP162:AP164"/>
    <mergeCell ref="AQ162:AQ164"/>
    <mergeCell ref="C163:C164"/>
    <mergeCell ref="D163:D164"/>
    <mergeCell ref="E163:E164"/>
    <mergeCell ref="F163:F164"/>
    <mergeCell ref="G163:G164"/>
    <mergeCell ref="H163:H164"/>
    <mergeCell ref="L163:M163"/>
    <mergeCell ref="N163:O163"/>
    <mergeCell ref="P163:Q163"/>
    <mergeCell ref="R163:S163"/>
    <mergeCell ref="AR163:AR164"/>
    <mergeCell ref="AS163:AS164"/>
    <mergeCell ref="AT163:AT164"/>
    <mergeCell ref="C165:H165"/>
    <mergeCell ref="J165:K165"/>
    <mergeCell ref="L165:O165"/>
    <mergeCell ref="P165:S165"/>
    <mergeCell ref="T165:U165"/>
    <mergeCell ref="V165:W165"/>
    <mergeCell ref="X165:Y165"/>
    <mergeCell ref="Z165:AA165"/>
    <mergeCell ref="AB165:AC165"/>
    <mergeCell ref="AD165:AE165"/>
    <mergeCell ref="AF165:AG165"/>
    <mergeCell ref="AH165:AI165"/>
    <mergeCell ref="AJ165:AK165"/>
    <mergeCell ref="AL165:AN165"/>
    <mergeCell ref="AO165:AQ165"/>
    <mergeCell ref="AR165:AT165"/>
    <mergeCell ref="A172:B172"/>
    <mergeCell ref="AT173:AV173"/>
    <mergeCell ref="C174:I174"/>
    <mergeCell ref="A183:A186"/>
    <mergeCell ref="B183:B186"/>
    <mergeCell ref="C183:G183"/>
    <mergeCell ref="J183:AK183"/>
    <mergeCell ref="AL183:AN185"/>
    <mergeCell ref="AO183:AQ183"/>
    <mergeCell ref="AR183:AT184"/>
    <mergeCell ref="AU183:AU186"/>
    <mergeCell ref="AV183:AV186"/>
    <mergeCell ref="AW183:AW186"/>
    <mergeCell ref="AX183:AX186"/>
    <mergeCell ref="AY183:AY186"/>
    <mergeCell ref="C184:D184"/>
    <mergeCell ref="E184:F184"/>
    <mergeCell ref="G184:H184"/>
    <mergeCell ref="I184:I186"/>
    <mergeCell ref="J184:K185"/>
    <mergeCell ref="L184:O184"/>
    <mergeCell ref="P184:S184"/>
    <mergeCell ref="T184:U185"/>
    <mergeCell ref="V184:W185"/>
    <mergeCell ref="X184:Y185"/>
    <mergeCell ref="Z184:AA185"/>
    <mergeCell ref="AB184:AC185"/>
    <mergeCell ref="AD184:AE185"/>
    <mergeCell ref="AF184:AG185"/>
    <mergeCell ref="AH184:AI185"/>
    <mergeCell ref="AJ184:AK185"/>
    <mergeCell ref="AO184:AO186"/>
    <mergeCell ref="AP184:AP186"/>
    <mergeCell ref="AQ184:AQ186"/>
    <mergeCell ref="C185:C186"/>
    <mergeCell ref="D185:D186"/>
    <mergeCell ref="E185:E186"/>
    <mergeCell ref="F185:F186"/>
    <mergeCell ref="G185:G186"/>
    <mergeCell ref="H185:H186"/>
    <mergeCell ref="L185:M185"/>
    <mergeCell ref="N185:O185"/>
    <mergeCell ref="P185:Q185"/>
    <mergeCell ref="R185:S185"/>
    <mergeCell ref="AR185:AR186"/>
    <mergeCell ref="AS185:AS186"/>
    <mergeCell ref="AT185:AT186"/>
    <mergeCell ref="C187:H187"/>
    <mergeCell ref="J187:K187"/>
    <mergeCell ref="L187:O187"/>
    <mergeCell ref="P187:S187"/>
    <mergeCell ref="T187:U187"/>
    <mergeCell ref="V187:W187"/>
    <mergeCell ref="X187:Y187"/>
    <mergeCell ref="Z187:AA187"/>
    <mergeCell ref="AB187:AC187"/>
    <mergeCell ref="AD187:AE187"/>
    <mergeCell ref="AF187:AG187"/>
    <mergeCell ref="AH187:AI187"/>
    <mergeCell ref="AJ187:AK187"/>
    <mergeCell ref="AL187:AN187"/>
    <mergeCell ref="AO187:AQ187"/>
    <mergeCell ref="AR187:AT187"/>
    <mergeCell ref="A194:B194"/>
    <mergeCell ref="AT195:AV195"/>
    <mergeCell ref="C196:I196"/>
    <mergeCell ref="A205:A208"/>
    <mergeCell ref="B205:B208"/>
    <mergeCell ref="C205:G205"/>
    <mergeCell ref="J205:AK205"/>
    <mergeCell ref="AL205:AN207"/>
    <mergeCell ref="AO205:AQ205"/>
    <mergeCell ref="AR205:AT206"/>
    <mergeCell ref="AU205:AU208"/>
    <mergeCell ref="AV205:AV208"/>
    <mergeCell ref="AW205:AW208"/>
    <mergeCell ref="AX205:AX208"/>
    <mergeCell ref="AY205:AY208"/>
    <mergeCell ref="C206:D206"/>
    <mergeCell ref="E206:F206"/>
    <mergeCell ref="G206:H206"/>
    <mergeCell ref="I206:I208"/>
    <mergeCell ref="J206:K207"/>
    <mergeCell ref="L206:O206"/>
    <mergeCell ref="P206:S206"/>
    <mergeCell ref="T206:U207"/>
    <mergeCell ref="V206:W207"/>
    <mergeCell ref="X206:Y207"/>
    <mergeCell ref="Z206:AA207"/>
    <mergeCell ref="AB206:AC207"/>
    <mergeCell ref="AD206:AE207"/>
    <mergeCell ref="AF206:AG207"/>
    <mergeCell ref="AH206:AI207"/>
    <mergeCell ref="AJ206:AK207"/>
    <mergeCell ref="AO206:AO208"/>
    <mergeCell ref="AP206:AP208"/>
    <mergeCell ref="AQ206:AQ208"/>
    <mergeCell ref="C207:C208"/>
    <mergeCell ref="D207:D208"/>
    <mergeCell ref="E207:E208"/>
    <mergeCell ref="F207:F208"/>
    <mergeCell ref="G207:G208"/>
    <mergeCell ref="H207:H208"/>
    <mergeCell ref="L207:M207"/>
    <mergeCell ref="N207:O207"/>
    <mergeCell ref="P207:Q207"/>
    <mergeCell ref="R207:S207"/>
    <mergeCell ref="AR207:AR208"/>
    <mergeCell ref="AS207:AS208"/>
    <mergeCell ref="AT207:AT208"/>
    <mergeCell ref="C209:H209"/>
    <mergeCell ref="J209:K209"/>
    <mergeCell ref="L209:O209"/>
    <mergeCell ref="P209:S209"/>
    <mergeCell ref="T209:U209"/>
    <mergeCell ref="V209:W209"/>
    <mergeCell ref="X209:Y209"/>
    <mergeCell ref="Z209:AA209"/>
    <mergeCell ref="AB209:AC209"/>
    <mergeCell ref="AD209:AE209"/>
    <mergeCell ref="AF209:AG209"/>
    <mergeCell ref="AH209:AI209"/>
    <mergeCell ref="AJ209:AK209"/>
    <mergeCell ref="AL209:AN209"/>
    <mergeCell ref="AO209:AQ209"/>
    <mergeCell ref="AR209:AT209"/>
    <mergeCell ref="A216:B216"/>
    <mergeCell ref="AT217:AV217"/>
    <mergeCell ref="C218:I218"/>
    <mergeCell ref="A227:A230"/>
    <mergeCell ref="B227:B230"/>
    <mergeCell ref="C227:G227"/>
    <mergeCell ref="J227:AK227"/>
    <mergeCell ref="AL227:AN229"/>
    <mergeCell ref="AO227:AQ227"/>
    <mergeCell ref="AR227:AT228"/>
    <mergeCell ref="AU227:AU230"/>
    <mergeCell ref="AV227:AV230"/>
    <mergeCell ref="AW227:AW230"/>
    <mergeCell ref="AX227:AX230"/>
    <mergeCell ref="AY227:AY230"/>
    <mergeCell ref="C228:D228"/>
    <mergeCell ref="E228:F228"/>
    <mergeCell ref="G228:H228"/>
    <mergeCell ref="I228:I230"/>
    <mergeCell ref="J228:K229"/>
    <mergeCell ref="L228:O228"/>
    <mergeCell ref="P228:S228"/>
    <mergeCell ref="T228:U229"/>
    <mergeCell ref="V228:W229"/>
    <mergeCell ref="X228:Y229"/>
    <mergeCell ref="Z228:AA229"/>
    <mergeCell ref="AB228:AC229"/>
    <mergeCell ref="AD228:AE229"/>
    <mergeCell ref="AF228:AG229"/>
    <mergeCell ref="AH228:AI229"/>
    <mergeCell ref="AJ228:AK229"/>
    <mergeCell ref="AO228:AO230"/>
    <mergeCell ref="AP228:AP230"/>
    <mergeCell ref="AQ228:AQ230"/>
    <mergeCell ref="C229:C230"/>
    <mergeCell ref="D229:D230"/>
    <mergeCell ref="E229:E230"/>
    <mergeCell ref="F229:F230"/>
    <mergeCell ref="G229:G230"/>
    <mergeCell ref="H229:H230"/>
    <mergeCell ref="L229:M229"/>
    <mergeCell ref="N229:O229"/>
    <mergeCell ref="P229:Q229"/>
    <mergeCell ref="R229:S229"/>
    <mergeCell ref="AR229:AR230"/>
    <mergeCell ref="AS229:AS230"/>
    <mergeCell ref="AT229:AT230"/>
    <mergeCell ref="C231:H231"/>
    <mergeCell ref="J231:K231"/>
    <mergeCell ref="L231:O231"/>
    <mergeCell ref="P231:S231"/>
    <mergeCell ref="T231:U231"/>
    <mergeCell ref="V231:W231"/>
    <mergeCell ref="X231:Y231"/>
    <mergeCell ref="Z231:AA231"/>
    <mergeCell ref="AB231:AC231"/>
    <mergeCell ref="AD231:AE231"/>
    <mergeCell ref="AF231:AG231"/>
    <mergeCell ref="AH231:AI231"/>
    <mergeCell ref="AJ231:AK231"/>
    <mergeCell ref="AL231:AN231"/>
    <mergeCell ref="AO231:AQ231"/>
    <mergeCell ref="AR231:AT231"/>
    <mergeCell ref="A238:B238"/>
    <mergeCell ref="AT239:AV239"/>
    <mergeCell ref="C240:I240"/>
    <mergeCell ref="A249:A252"/>
    <mergeCell ref="B249:B252"/>
    <mergeCell ref="C249:G249"/>
    <mergeCell ref="J249:AK249"/>
    <mergeCell ref="AL249:AN251"/>
    <mergeCell ref="AO249:AQ249"/>
    <mergeCell ref="AR249:AT250"/>
    <mergeCell ref="AU249:AU252"/>
    <mergeCell ref="AV249:AV252"/>
    <mergeCell ref="AW249:AW252"/>
    <mergeCell ref="AX249:AX252"/>
    <mergeCell ref="AY249:AY252"/>
    <mergeCell ref="C250:D250"/>
    <mergeCell ref="E250:F250"/>
    <mergeCell ref="G250:H250"/>
    <mergeCell ref="I250:I252"/>
    <mergeCell ref="J250:K251"/>
    <mergeCell ref="L250:O250"/>
    <mergeCell ref="P250:S250"/>
    <mergeCell ref="T250:U251"/>
    <mergeCell ref="V250:W251"/>
    <mergeCell ref="X250:Y251"/>
    <mergeCell ref="Z250:AA251"/>
    <mergeCell ref="AB250:AC251"/>
    <mergeCell ref="AD250:AE251"/>
    <mergeCell ref="AF250:AG251"/>
    <mergeCell ref="AH250:AI251"/>
    <mergeCell ref="AJ250:AK251"/>
    <mergeCell ref="AO250:AO252"/>
    <mergeCell ref="AP250:AP252"/>
    <mergeCell ref="AQ250:AQ252"/>
    <mergeCell ref="C251:C252"/>
    <mergeCell ref="D251:D252"/>
    <mergeCell ref="E251:E252"/>
    <mergeCell ref="F251:F252"/>
    <mergeCell ref="G251:G252"/>
    <mergeCell ref="H251:H252"/>
    <mergeCell ref="L251:M251"/>
    <mergeCell ref="N251:O251"/>
    <mergeCell ref="P251:Q251"/>
    <mergeCell ref="R251:S251"/>
    <mergeCell ref="AR251:AR252"/>
    <mergeCell ref="AS251:AS252"/>
    <mergeCell ref="AT251:AT252"/>
    <mergeCell ref="C253:H253"/>
    <mergeCell ref="J253:K253"/>
    <mergeCell ref="L253:O253"/>
    <mergeCell ref="P253:S253"/>
    <mergeCell ref="T253:U253"/>
    <mergeCell ref="V253:W253"/>
    <mergeCell ref="X253:Y253"/>
    <mergeCell ref="Z253:AA253"/>
    <mergeCell ref="AB253:AC253"/>
    <mergeCell ref="AD253:AE253"/>
    <mergeCell ref="AF253:AG253"/>
    <mergeCell ref="AH253:AI253"/>
    <mergeCell ref="AJ253:AK253"/>
    <mergeCell ref="AL253:AN253"/>
    <mergeCell ref="AO253:AQ253"/>
    <mergeCell ref="AR253:AT253"/>
    <mergeCell ref="A260:B260"/>
    <mergeCell ref="AT261:AV261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75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26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true" showRowColHeaders="true" showZeros="true" rightToLeft="false" tabSelected="false" showOutlineSymbols="true" defaultGridColor="true" view="pageBreakPreview" topLeftCell="A1" colorId="64" zoomScale="65" zoomScaleNormal="100" zoomScalePageLayoutView="65" workbookViewId="0">
      <selection pane="topLeft" activeCell="J12" activeCellId="1" sqref="A155:O168 J12"/>
    </sheetView>
  </sheetViews>
  <sheetFormatPr defaultColWidth="9.01953125" defaultRowHeight="15" customHeight="false" zeroHeight="false" outlineLevelRow="0" outlineLevelCol="0"/>
  <sheetData>
    <row r="1" customFormat="false" ht="15" hidden="false" customHeight="false" outlineLevel="0" collapsed="false">
      <c r="A1" s="40" t="s">
        <v>115</v>
      </c>
      <c r="B1" s="40" t="n">
        <v>644</v>
      </c>
      <c r="C1" s="40" t="n">
        <v>464</v>
      </c>
      <c r="D1" s="40" t="n">
        <f aca="false">B1-C1</f>
        <v>180</v>
      </c>
      <c r="F1" s="40" t="n">
        <v>163</v>
      </c>
      <c r="G1" s="40" t="n">
        <f aca="false">C1+F1</f>
        <v>627</v>
      </c>
      <c r="H1" s="40" t="n">
        <v>97.3</v>
      </c>
      <c r="J1" s="40" t="n">
        <v>14</v>
      </c>
      <c r="K1" s="40" t="n">
        <v>38</v>
      </c>
      <c r="L1" s="40" t="n">
        <v>5</v>
      </c>
      <c r="M1" s="40" t="n">
        <v>37</v>
      </c>
      <c r="O1" s="40" t="n">
        <v>15</v>
      </c>
      <c r="P1" s="40" t="n">
        <v>48</v>
      </c>
      <c r="Q1" s="40" t="n">
        <v>2</v>
      </c>
      <c r="R1" s="40" t="n">
        <v>4</v>
      </c>
    </row>
    <row r="2" customFormat="false" ht="15" hidden="false" customHeight="false" outlineLevel="0" collapsed="false">
      <c r="A2" s="40" t="s">
        <v>116</v>
      </c>
      <c r="B2" s="40" t="n">
        <v>434</v>
      </c>
      <c r="C2" s="40" t="n">
        <v>385</v>
      </c>
      <c r="D2" s="40" t="n">
        <f aca="false">B2-C2</f>
        <v>49</v>
      </c>
      <c r="F2" s="40" t="n">
        <v>38</v>
      </c>
      <c r="G2" s="40" t="n">
        <f aca="false">C2+F2</f>
        <v>423</v>
      </c>
      <c r="H2" s="72" t="n">
        <v>97.4</v>
      </c>
      <c r="J2" s="40" t="n">
        <v>2</v>
      </c>
      <c r="K2" s="40" t="n">
        <v>11</v>
      </c>
      <c r="L2" s="40" t="n">
        <v>1</v>
      </c>
      <c r="M2" s="40" t="n">
        <v>2</v>
      </c>
      <c r="O2" s="40" t="n">
        <v>5</v>
      </c>
      <c r="P2" s="40" t="n">
        <v>11</v>
      </c>
      <c r="Q2" s="40" t="n">
        <v>2</v>
      </c>
      <c r="R2" s="40" t="n">
        <v>4</v>
      </c>
    </row>
    <row r="3" customFormat="false" ht="15" hidden="false" customHeight="false" outlineLevel="0" collapsed="false">
      <c r="A3" s="40" t="s">
        <v>117</v>
      </c>
      <c r="B3" s="40" t="n">
        <v>485</v>
      </c>
      <c r="C3" s="40" t="n">
        <v>479</v>
      </c>
      <c r="D3" s="40" t="n">
        <f aca="false">B3-C3</f>
        <v>6</v>
      </c>
      <c r="F3" s="40" t="n">
        <v>0</v>
      </c>
      <c r="G3" s="40" t="n">
        <f aca="false">C3+F3</f>
        <v>479</v>
      </c>
      <c r="H3" s="40" t="n">
        <v>98.7</v>
      </c>
      <c r="J3" s="40" t="n">
        <v>0</v>
      </c>
    </row>
    <row r="4" customFormat="false" ht="15" hidden="false" customHeight="false" outlineLevel="0" collapsed="false">
      <c r="A4" s="40" t="s">
        <v>118</v>
      </c>
      <c r="B4" s="40" t="n">
        <v>351</v>
      </c>
      <c r="C4" s="40" t="n">
        <v>255</v>
      </c>
      <c r="D4" s="40" t="n">
        <f aca="false">B4-C4</f>
        <v>96</v>
      </c>
      <c r="F4" s="40" t="n">
        <v>63</v>
      </c>
      <c r="G4" s="40" t="n">
        <f aca="false">C4+F4</f>
        <v>318</v>
      </c>
      <c r="H4" s="40" t="n">
        <v>90.5</v>
      </c>
      <c r="J4" s="40" t="n">
        <v>2</v>
      </c>
      <c r="K4" s="40" t="n">
        <v>4</v>
      </c>
      <c r="L4" s="40" t="n">
        <v>2</v>
      </c>
      <c r="M4" s="40" t="n">
        <v>2</v>
      </c>
      <c r="O4" s="40" t="n">
        <v>6</v>
      </c>
      <c r="P4" s="40" t="n">
        <v>40</v>
      </c>
      <c r="Q4" s="40" t="n">
        <v>3</v>
      </c>
      <c r="R4" s="40" t="n">
        <v>4</v>
      </c>
    </row>
    <row r="5" customFormat="false" ht="15" hidden="false" customHeight="false" outlineLevel="0" collapsed="false">
      <c r="A5" s="40" t="s">
        <v>119</v>
      </c>
      <c r="B5" s="40" t="n">
        <v>374</v>
      </c>
      <c r="C5" s="40" t="n">
        <v>299</v>
      </c>
      <c r="D5" s="40" t="n">
        <f aca="false">B5-C5</f>
        <v>75</v>
      </c>
      <c r="F5" s="40" t="n">
        <v>70</v>
      </c>
      <c r="G5" s="40" t="n">
        <f aca="false">C5+F5</f>
        <v>369</v>
      </c>
      <c r="H5" s="40" t="n">
        <v>98.6</v>
      </c>
      <c r="J5" s="40" t="n">
        <v>2</v>
      </c>
      <c r="K5" s="40" t="n">
        <v>24</v>
      </c>
      <c r="L5" s="40" t="n">
        <v>1</v>
      </c>
      <c r="M5" s="40" t="n">
        <v>2</v>
      </c>
      <c r="O5" s="40" t="n">
        <v>10</v>
      </c>
      <c r="P5" s="40" t="n">
        <v>24</v>
      </c>
      <c r="Q5" s="40" t="n">
        <v>2</v>
      </c>
      <c r="R5" s="40" t="n">
        <v>5</v>
      </c>
    </row>
    <row r="6" customFormat="false" ht="15" hidden="false" customHeight="false" outlineLevel="0" collapsed="false">
      <c r="A6" s="40" t="s">
        <v>120</v>
      </c>
      <c r="B6" s="40" t="n">
        <f aca="false">SUM(B1:B5)</f>
        <v>2288</v>
      </c>
      <c r="C6" s="40" t="n">
        <f aca="false">SUM(C1:C5)</f>
        <v>1882</v>
      </c>
      <c r="D6" s="40" t="n">
        <f aca="false">B6-C6</f>
        <v>406</v>
      </c>
      <c r="F6" s="40" t="n">
        <f aca="false">SUM(F1:F5)</f>
        <v>334</v>
      </c>
      <c r="G6" s="40" t="n">
        <f aca="false">SUM(G1:G5)</f>
        <v>2216</v>
      </c>
      <c r="I6" s="73"/>
    </row>
    <row r="7" customFormat="false" ht="15" hidden="false" customHeight="false" outlineLevel="0" collapsed="false">
      <c r="D7" s="40" t="s">
        <v>121</v>
      </c>
      <c r="F7" s="72" t="s">
        <v>122</v>
      </c>
      <c r="G7" s="40" t="s">
        <v>123</v>
      </c>
      <c r="J7" s="40" t="s">
        <v>124</v>
      </c>
      <c r="K7" s="40" t="s">
        <v>30</v>
      </c>
      <c r="L7" s="40" t="s">
        <v>29</v>
      </c>
      <c r="M7" s="40" t="s">
        <v>30</v>
      </c>
      <c r="O7" s="40" t="s">
        <v>124</v>
      </c>
      <c r="P7" s="40" t="s">
        <v>30</v>
      </c>
      <c r="Q7" s="40" t="s">
        <v>29</v>
      </c>
      <c r="R7" s="40" t="s">
        <v>30</v>
      </c>
    </row>
    <row r="8" customFormat="false" ht="15" hidden="false" customHeight="false" outlineLevel="0" collapsed="false">
      <c r="J8" s="40" t="s">
        <v>23</v>
      </c>
      <c r="L8" s="40" t="s">
        <v>125</v>
      </c>
      <c r="O8" s="40" t="s">
        <v>23</v>
      </c>
      <c r="Q8" s="40" t="s">
        <v>125</v>
      </c>
    </row>
    <row r="9" customFormat="false" ht="15" hidden="false" customHeight="false" outlineLevel="0" collapsed="false">
      <c r="J9" s="40" t="s">
        <v>126</v>
      </c>
      <c r="O9" s="40" t="s">
        <v>127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564</TotalTime>
  <Application>LibreOffice/26.2.5.2$Linux_X86_64 LibreOffice_project/c57499dd6547dfa62680c63e3e97464fa4d493a2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2016-03-24T21:31:00Z</dcterms:created>
  <dc:creator>USER01</dc:creator>
  <dc:description/>
  <dc:language>en-US</dc:language>
  <cp:lastModifiedBy/>
  <cp:lastPrinted>2024-04-23T00:55:00Z</cp:lastPrinted>
  <dcterms:modified xsi:type="dcterms:W3CDTF">2026-09-05T20:37:59Z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/>
  </property>
  <property fmtid="{D5CDD505-2E9C-101B-9397-08002B2CF9AE}" pid="4" name="KSOProductBuildVer">
    <vt:lpwstr>1033-11.1.0.11723</vt:lpwstr>
  </property>
</Properties>
</file>